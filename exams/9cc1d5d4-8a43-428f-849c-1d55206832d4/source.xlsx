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fbc703d13373a04f/デスクトップ/中上級者試験AI評価/"/>
    </mc:Choice>
  </mc:AlternateContent>
  <xr:revisionPtr revIDLastSave="19" documentId="8_{50F476EA-F9C2-4E9B-822A-941FE47DE7BF}" xr6:coauthVersionLast="47" xr6:coauthVersionMax="47" xr10:uidLastSave="{D760E0B0-573D-4C37-BB60-110A43E99E60}"/>
  <bookViews>
    <workbookView xWindow="-98" yWindow="-98" windowWidth="28996" windowHeight="15675" xr2:uid="{00000000-000D-0000-FFFF-FFFF00000000}"/>
  </bookViews>
  <sheets>
    <sheet name="問題" sheetId="24" r:id="rId1"/>
    <sheet name="コンピテンシー" sheetId="32" r:id="rId2"/>
    <sheet name="班別コンピテンシー" sheetId="34" r:id="rId3"/>
  </sheets>
  <definedNames>
    <definedName name="_xlnm._FilterDatabase" localSheetId="0" hidden="1">問題!$A$2:$P$150</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7" i="34" l="1"/>
  <c r="B237" i="34"/>
  <c r="C237" i="34"/>
  <c r="D237" i="34"/>
  <c r="E237" i="34"/>
  <c r="F237" i="34"/>
  <c r="G237" i="34"/>
  <c r="H237" i="34"/>
  <c r="I237" i="34"/>
  <c r="J237" i="34"/>
  <c r="A238" i="34"/>
  <c r="B238" i="34"/>
  <c r="C238" i="34"/>
  <c r="D238" i="34"/>
  <c r="E238" i="34"/>
  <c r="F238" i="34"/>
  <c r="G238" i="34"/>
  <c r="H238" i="34"/>
  <c r="I238" i="34"/>
  <c r="J238" i="34"/>
  <c r="A239" i="34"/>
  <c r="B239" i="34"/>
  <c r="C239" i="34"/>
  <c r="D239" i="34"/>
  <c r="E239" i="34"/>
  <c r="F239" i="34"/>
  <c r="G239" i="34"/>
  <c r="H239" i="34"/>
  <c r="I239" i="34"/>
  <c r="J239" i="34"/>
  <c r="A240" i="34"/>
  <c r="B240" i="34"/>
  <c r="C240" i="34"/>
  <c r="D240" i="34"/>
  <c r="E240" i="34"/>
  <c r="F240" i="34"/>
  <c r="G240" i="34"/>
  <c r="H240" i="34"/>
  <c r="I240" i="34"/>
  <c r="J240" i="34"/>
  <c r="A241" i="34"/>
  <c r="B241" i="34"/>
  <c r="C241" i="34"/>
  <c r="D241" i="34"/>
  <c r="E241" i="34"/>
  <c r="F241" i="34"/>
  <c r="G241" i="34"/>
  <c r="H241" i="34"/>
  <c r="I241" i="34"/>
  <c r="J241" i="34"/>
  <c r="A242" i="34"/>
  <c r="B242" i="34"/>
  <c r="C242" i="34"/>
  <c r="D242" i="34"/>
  <c r="E242" i="34"/>
  <c r="F242" i="34"/>
  <c r="G242" i="34"/>
  <c r="H242" i="34"/>
  <c r="I242" i="34"/>
  <c r="J242" i="34"/>
  <c r="A243" i="34"/>
  <c r="B243" i="34"/>
  <c r="C243" i="34"/>
  <c r="D243" i="34"/>
  <c r="E243" i="34"/>
  <c r="F243" i="34"/>
  <c r="G243" i="34"/>
  <c r="H243" i="34"/>
  <c r="I243" i="34"/>
  <c r="J243" i="34"/>
  <c r="A244" i="34"/>
  <c r="B244" i="34"/>
  <c r="C244" i="34"/>
  <c r="D244" i="34"/>
  <c r="E244" i="34"/>
  <c r="F244" i="34"/>
  <c r="G244" i="34"/>
  <c r="H244" i="34"/>
  <c r="I244" i="34"/>
  <c r="J244" i="34"/>
  <c r="A245" i="34"/>
  <c r="B245" i="34"/>
  <c r="C245" i="34"/>
  <c r="D245" i="34"/>
  <c r="E245" i="34"/>
  <c r="F245" i="34"/>
  <c r="G245" i="34"/>
  <c r="H245" i="34"/>
  <c r="I245" i="34"/>
  <c r="J245" i="34"/>
  <c r="A246" i="34"/>
  <c r="B246" i="34"/>
  <c r="C246" i="34"/>
  <c r="D246" i="34"/>
  <c r="E246" i="34"/>
  <c r="F246" i="34"/>
  <c r="G246" i="34"/>
  <c r="H246" i="34"/>
  <c r="I246" i="34"/>
  <c r="J246" i="34"/>
  <c r="A247" i="34"/>
  <c r="B247" i="34"/>
  <c r="C247" i="34"/>
  <c r="D247" i="34"/>
  <c r="E247" i="34"/>
  <c r="F247" i="34"/>
  <c r="G247" i="34"/>
  <c r="H247" i="34"/>
  <c r="I247" i="34"/>
  <c r="J247" i="34"/>
  <c r="A248" i="34"/>
  <c r="B248" i="34"/>
  <c r="C248" i="34"/>
  <c r="D248" i="34"/>
  <c r="E248" i="34"/>
  <c r="F248" i="34"/>
  <c r="G248" i="34"/>
  <c r="H248" i="34"/>
  <c r="I248" i="34"/>
  <c r="J248" i="34"/>
  <c r="A249" i="34"/>
  <c r="B249" i="34"/>
  <c r="C249" i="34"/>
  <c r="D249" i="34"/>
  <c r="E249" i="34"/>
  <c r="F249" i="34"/>
  <c r="G249" i="34"/>
  <c r="H249" i="34"/>
  <c r="I249" i="34"/>
  <c r="J249" i="34"/>
  <c r="A250" i="34"/>
  <c r="B250" i="34"/>
  <c r="C250" i="34"/>
  <c r="D250" i="34"/>
  <c r="E250" i="34"/>
  <c r="F250" i="34"/>
  <c r="G250" i="34"/>
  <c r="H250" i="34"/>
  <c r="I250" i="34"/>
  <c r="J250" i="34"/>
  <c r="A251" i="34"/>
  <c r="B251" i="34"/>
  <c r="C251" i="34"/>
  <c r="D251" i="34"/>
  <c r="E251" i="34"/>
  <c r="F251" i="34"/>
  <c r="G251" i="34"/>
  <c r="H251" i="34"/>
  <c r="I251" i="34"/>
  <c r="J251" i="34"/>
  <c r="A252" i="34"/>
  <c r="B252" i="34"/>
  <c r="C252" i="34"/>
  <c r="D252" i="34"/>
  <c r="E252" i="34"/>
  <c r="F252" i="34"/>
  <c r="G252" i="34"/>
  <c r="H252" i="34"/>
  <c r="I252" i="34"/>
  <c r="J252" i="34"/>
  <c r="A253" i="34"/>
  <c r="B253" i="34"/>
  <c r="C253" i="34"/>
  <c r="D253" i="34"/>
  <c r="E253" i="34"/>
  <c r="F253" i="34"/>
  <c r="G253" i="34"/>
  <c r="H253" i="34"/>
  <c r="I253" i="34"/>
  <c r="J253" i="34"/>
  <c r="A254" i="34"/>
  <c r="B254" i="34"/>
  <c r="C254" i="34"/>
  <c r="D254" i="34"/>
  <c r="E254" i="34"/>
  <c r="F254" i="34"/>
  <c r="G254" i="34"/>
  <c r="H254" i="34"/>
  <c r="I254" i="34"/>
  <c r="J254" i="34"/>
  <c r="A255" i="34"/>
  <c r="B255" i="34"/>
  <c r="C255" i="34"/>
  <c r="D255" i="34"/>
  <c r="E255" i="34"/>
  <c r="F255" i="34"/>
  <c r="G255" i="34"/>
  <c r="H255" i="34"/>
  <c r="I255" i="34"/>
  <c r="J255" i="34"/>
  <c r="A256" i="34"/>
  <c r="B256" i="34"/>
  <c r="C256" i="34"/>
  <c r="D256" i="34"/>
  <c r="E256" i="34"/>
  <c r="F256" i="34"/>
  <c r="G256" i="34"/>
  <c r="H256" i="34"/>
  <c r="I256" i="34"/>
  <c r="J256" i="34"/>
  <c r="A257" i="34"/>
  <c r="B257" i="34"/>
  <c r="C257" i="34"/>
  <c r="D257" i="34"/>
  <c r="E257" i="34"/>
  <c r="F257" i="34"/>
  <c r="G257" i="34"/>
  <c r="H257" i="34"/>
  <c r="I257" i="34"/>
  <c r="J257" i="34"/>
  <c r="A258" i="34"/>
  <c r="B258" i="34"/>
  <c r="C258" i="34"/>
  <c r="D258" i="34"/>
  <c r="E258" i="34"/>
  <c r="F258" i="34"/>
  <c r="G258" i="34"/>
  <c r="H258" i="34"/>
  <c r="I258" i="34"/>
  <c r="J258" i="34"/>
  <c r="A211" i="34"/>
  <c r="B211" i="34"/>
  <c r="C211" i="34"/>
  <c r="D211" i="34"/>
  <c r="E211" i="34"/>
  <c r="F211" i="34"/>
  <c r="G211" i="34"/>
  <c r="H211" i="34"/>
  <c r="I211" i="34"/>
  <c r="J211" i="34"/>
  <c r="A212" i="34"/>
  <c r="B212" i="34"/>
  <c r="C212" i="34"/>
  <c r="D212" i="34"/>
  <c r="E212" i="34"/>
  <c r="F212" i="34"/>
  <c r="G212" i="34"/>
  <c r="H212" i="34"/>
  <c r="I212" i="34"/>
  <c r="J212" i="34"/>
  <c r="A213" i="34"/>
  <c r="B213" i="34"/>
  <c r="C213" i="34"/>
  <c r="D213" i="34"/>
  <c r="E213" i="34"/>
  <c r="F213" i="34"/>
  <c r="G213" i="34"/>
  <c r="H213" i="34"/>
  <c r="I213" i="34"/>
  <c r="J213" i="34"/>
  <c r="A214" i="34"/>
  <c r="B214" i="34"/>
  <c r="C214" i="34"/>
  <c r="D214" i="34"/>
  <c r="E214" i="34"/>
  <c r="F214" i="34"/>
  <c r="G214" i="34"/>
  <c r="H214" i="34"/>
  <c r="I214" i="34"/>
  <c r="J214" i="34"/>
  <c r="A215" i="34"/>
  <c r="B215" i="34"/>
  <c r="C215" i="34"/>
  <c r="D215" i="34"/>
  <c r="E215" i="34"/>
  <c r="F215" i="34"/>
  <c r="G215" i="34"/>
  <c r="H215" i="34"/>
  <c r="I215" i="34"/>
  <c r="J215" i="34"/>
  <c r="A216" i="34"/>
  <c r="B216" i="34"/>
  <c r="C216" i="34"/>
  <c r="D216" i="34"/>
  <c r="E216" i="34"/>
  <c r="F216" i="34"/>
  <c r="G216" i="34"/>
  <c r="H216" i="34"/>
  <c r="I216" i="34"/>
  <c r="J216" i="34"/>
  <c r="A217" i="34"/>
  <c r="B217" i="34"/>
  <c r="C217" i="34"/>
  <c r="D217" i="34"/>
  <c r="E217" i="34"/>
  <c r="F217" i="34"/>
  <c r="G217" i="34"/>
  <c r="H217" i="34"/>
  <c r="I217" i="34"/>
  <c r="J217" i="34"/>
  <c r="A218" i="34"/>
  <c r="B218" i="34"/>
  <c r="C218" i="34"/>
  <c r="D218" i="34"/>
  <c r="E218" i="34"/>
  <c r="F218" i="34"/>
  <c r="G218" i="34"/>
  <c r="H218" i="34"/>
  <c r="I218" i="34"/>
  <c r="J218" i="34"/>
  <c r="A219" i="34"/>
  <c r="B219" i="34"/>
  <c r="C219" i="34"/>
  <c r="D219" i="34"/>
  <c r="E219" i="34"/>
  <c r="F219" i="34"/>
  <c r="G219" i="34"/>
  <c r="H219" i="34"/>
  <c r="I219" i="34"/>
  <c r="J219" i="34"/>
  <c r="A220" i="34"/>
  <c r="B220" i="34"/>
  <c r="C220" i="34"/>
  <c r="D220" i="34"/>
  <c r="E220" i="34"/>
  <c r="F220" i="34"/>
  <c r="G220" i="34"/>
  <c r="H220" i="34"/>
  <c r="I220" i="34"/>
  <c r="J220" i="34"/>
  <c r="A221" i="34"/>
  <c r="B221" i="34"/>
  <c r="C221" i="34"/>
  <c r="D221" i="34"/>
  <c r="E221" i="34"/>
  <c r="F221" i="34"/>
  <c r="G221" i="34"/>
  <c r="H221" i="34"/>
  <c r="I221" i="34"/>
  <c r="J221" i="34"/>
  <c r="A222" i="34"/>
  <c r="B222" i="34"/>
  <c r="C222" i="34"/>
  <c r="D222" i="34"/>
  <c r="E222" i="34"/>
  <c r="F222" i="34"/>
  <c r="G222" i="34"/>
  <c r="H222" i="34"/>
  <c r="I222" i="34"/>
  <c r="J222" i="34"/>
  <c r="A223" i="34"/>
  <c r="B223" i="34"/>
  <c r="C223" i="34"/>
  <c r="D223" i="34"/>
  <c r="E223" i="34"/>
  <c r="F223" i="34"/>
  <c r="G223" i="34"/>
  <c r="H223" i="34"/>
  <c r="I223" i="34"/>
  <c r="J223" i="34"/>
  <c r="A224" i="34"/>
  <c r="B224" i="34"/>
  <c r="C224" i="34"/>
  <c r="D224" i="34"/>
  <c r="E224" i="34"/>
  <c r="F224" i="34"/>
  <c r="G224" i="34"/>
  <c r="H224" i="34"/>
  <c r="I224" i="34"/>
  <c r="J224" i="34"/>
  <c r="A225" i="34"/>
  <c r="B225" i="34"/>
  <c r="C225" i="34"/>
  <c r="D225" i="34"/>
  <c r="E225" i="34"/>
  <c r="F225" i="34"/>
  <c r="G225" i="34"/>
  <c r="H225" i="34"/>
  <c r="I225" i="34"/>
  <c r="J225" i="34"/>
  <c r="A226" i="34"/>
  <c r="B226" i="34"/>
  <c r="C226" i="34"/>
  <c r="D226" i="34"/>
  <c r="E226" i="34"/>
  <c r="F226" i="34"/>
  <c r="G226" i="34"/>
  <c r="H226" i="34"/>
  <c r="I226" i="34"/>
  <c r="J226" i="34"/>
  <c r="A227" i="34"/>
  <c r="B227" i="34"/>
  <c r="C227" i="34"/>
  <c r="D227" i="34"/>
  <c r="E227" i="34"/>
  <c r="F227" i="34"/>
  <c r="G227" i="34"/>
  <c r="H227" i="34"/>
  <c r="I227" i="34"/>
  <c r="J227" i="34"/>
  <c r="A228" i="34"/>
  <c r="B228" i="34"/>
  <c r="C228" i="34"/>
  <c r="D228" i="34"/>
  <c r="E228" i="34"/>
  <c r="F228" i="34"/>
  <c r="G228" i="34"/>
  <c r="H228" i="34"/>
  <c r="I228" i="34"/>
  <c r="J228" i="34"/>
  <c r="A229" i="34"/>
  <c r="B229" i="34"/>
  <c r="C229" i="34"/>
  <c r="D229" i="34"/>
  <c r="E229" i="34"/>
  <c r="F229" i="34"/>
  <c r="G229" i="34"/>
  <c r="H229" i="34"/>
  <c r="I229" i="34"/>
  <c r="J229" i="34"/>
  <c r="A230" i="34"/>
  <c r="B230" i="34"/>
  <c r="C230" i="34"/>
  <c r="D230" i="34"/>
  <c r="E230" i="34"/>
  <c r="F230" i="34"/>
  <c r="G230" i="34"/>
  <c r="H230" i="34"/>
  <c r="I230" i="34"/>
  <c r="J230" i="34"/>
  <c r="A231" i="34"/>
  <c r="B231" i="34"/>
  <c r="C231" i="34"/>
  <c r="D231" i="34"/>
  <c r="E231" i="34"/>
  <c r="F231" i="34"/>
  <c r="G231" i="34"/>
  <c r="H231" i="34"/>
  <c r="I231" i="34"/>
  <c r="J231" i="34"/>
  <c r="A232" i="34"/>
  <c r="B232" i="34"/>
  <c r="C232" i="34"/>
  <c r="D232" i="34"/>
  <c r="E232" i="34"/>
  <c r="F232" i="34"/>
  <c r="G232" i="34"/>
  <c r="H232" i="34"/>
  <c r="I232" i="34"/>
  <c r="J232" i="34"/>
  <c r="A185" i="34"/>
  <c r="B185" i="34"/>
  <c r="C185" i="34"/>
  <c r="D185" i="34"/>
  <c r="E185" i="34"/>
  <c r="F185" i="34"/>
  <c r="G185" i="34"/>
  <c r="H185" i="34"/>
  <c r="I185" i="34"/>
  <c r="J185" i="34"/>
  <c r="A186" i="34"/>
  <c r="B186" i="34"/>
  <c r="C186" i="34"/>
  <c r="D186" i="34"/>
  <c r="E186" i="34"/>
  <c r="F186" i="34"/>
  <c r="G186" i="34"/>
  <c r="H186" i="34"/>
  <c r="I186" i="34"/>
  <c r="J186" i="34"/>
  <c r="A187" i="34"/>
  <c r="B187" i="34"/>
  <c r="C187" i="34"/>
  <c r="D187" i="34"/>
  <c r="E187" i="34"/>
  <c r="F187" i="34"/>
  <c r="G187" i="34"/>
  <c r="H187" i="34"/>
  <c r="I187" i="34"/>
  <c r="J187" i="34"/>
  <c r="A188" i="34"/>
  <c r="B188" i="34"/>
  <c r="C188" i="34"/>
  <c r="D188" i="34"/>
  <c r="E188" i="34"/>
  <c r="F188" i="34"/>
  <c r="G188" i="34"/>
  <c r="H188" i="34"/>
  <c r="I188" i="34"/>
  <c r="J188" i="34"/>
  <c r="A189" i="34"/>
  <c r="B189" i="34"/>
  <c r="C189" i="34"/>
  <c r="D189" i="34"/>
  <c r="E189" i="34"/>
  <c r="F189" i="34"/>
  <c r="G189" i="34"/>
  <c r="H189" i="34"/>
  <c r="I189" i="34"/>
  <c r="J189" i="34"/>
  <c r="A190" i="34"/>
  <c r="B190" i="34"/>
  <c r="C190" i="34"/>
  <c r="D190" i="34"/>
  <c r="E190" i="34"/>
  <c r="F190" i="34"/>
  <c r="G190" i="34"/>
  <c r="H190" i="34"/>
  <c r="I190" i="34"/>
  <c r="J190" i="34"/>
  <c r="A191" i="34"/>
  <c r="B191" i="34"/>
  <c r="C191" i="34"/>
  <c r="D191" i="34"/>
  <c r="E191" i="34"/>
  <c r="F191" i="34"/>
  <c r="G191" i="34"/>
  <c r="H191" i="34"/>
  <c r="I191" i="34"/>
  <c r="J191" i="34"/>
  <c r="A192" i="34"/>
  <c r="B192" i="34"/>
  <c r="C192" i="34"/>
  <c r="D192" i="34"/>
  <c r="E192" i="34"/>
  <c r="F192" i="34"/>
  <c r="G192" i="34"/>
  <c r="H192" i="34"/>
  <c r="I192" i="34"/>
  <c r="J192" i="34"/>
  <c r="A193" i="34"/>
  <c r="B193" i="34"/>
  <c r="C193" i="34"/>
  <c r="D193" i="34"/>
  <c r="E193" i="34"/>
  <c r="F193" i="34"/>
  <c r="G193" i="34"/>
  <c r="H193" i="34"/>
  <c r="I193" i="34"/>
  <c r="J193" i="34"/>
  <c r="A194" i="34"/>
  <c r="B194" i="34"/>
  <c r="C194" i="34"/>
  <c r="D194" i="34"/>
  <c r="E194" i="34"/>
  <c r="F194" i="34"/>
  <c r="G194" i="34"/>
  <c r="H194" i="34"/>
  <c r="I194" i="34"/>
  <c r="J194" i="34"/>
  <c r="A195" i="34"/>
  <c r="B195" i="34"/>
  <c r="C195" i="34"/>
  <c r="D195" i="34"/>
  <c r="E195" i="34"/>
  <c r="F195" i="34"/>
  <c r="G195" i="34"/>
  <c r="H195" i="34"/>
  <c r="I195" i="34"/>
  <c r="J195" i="34"/>
  <c r="A196" i="34"/>
  <c r="B196" i="34"/>
  <c r="C196" i="34"/>
  <c r="D196" i="34"/>
  <c r="E196" i="34"/>
  <c r="F196" i="34"/>
  <c r="G196" i="34"/>
  <c r="H196" i="34"/>
  <c r="I196" i="34"/>
  <c r="J196" i="34"/>
  <c r="A197" i="34"/>
  <c r="B197" i="34"/>
  <c r="C197" i="34"/>
  <c r="D197" i="34"/>
  <c r="E197" i="34"/>
  <c r="F197" i="34"/>
  <c r="G197" i="34"/>
  <c r="H197" i="34"/>
  <c r="I197" i="34"/>
  <c r="J197" i="34"/>
  <c r="A198" i="34"/>
  <c r="B198" i="34"/>
  <c r="C198" i="34"/>
  <c r="D198" i="34"/>
  <c r="E198" i="34"/>
  <c r="F198" i="34"/>
  <c r="G198" i="34"/>
  <c r="H198" i="34"/>
  <c r="I198" i="34"/>
  <c r="J198" i="34"/>
  <c r="A199" i="34"/>
  <c r="B199" i="34"/>
  <c r="C199" i="34"/>
  <c r="D199" i="34"/>
  <c r="E199" i="34"/>
  <c r="F199" i="34"/>
  <c r="G199" i="34"/>
  <c r="H199" i="34"/>
  <c r="I199" i="34"/>
  <c r="J199" i="34"/>
  <c r="A200" i="34"/>
  <c r="B200" i="34"/>
  <c r="C200" i="34"/>
  <c r="D200" i="34"/>
  <c r="E200" i="34"/>
  <c r="F200" i="34"/>
  <c r="G200" i="34"/>
  <c r="H200" i="34"/>
  <c r="I200" i="34"/>
  <c r="J200" i="34"/>
  <c r="A201" i="34"/>
  <c r="B201" i="34"/>
  <c r="C201" i="34"/>
  <c r="D201" i="34"/>
  <c r="E201" i="34"/>
  <c r="F201" i="34"/>
  <c r="G201" i="34"/>
  <c r="H201" i="34"/>
  <c r="I201" i="34"/>
  <c r="J201" i="34"/>
  <c r="A202" i="34"/>
  <c r="B202" i="34"/>
  <c r="C202" i="34"/>
  <c r="D202" i="34"/>
  <c r="E202" i="34"/>
  <c r="F202" i="34"/>
  <c r="G202" i="34"/>
  <c r="H202" i="34"/>
  <c r="I202" i="34"/>
  <c r="J202" i="34"/>
  <c r="A203" i="34"/>
  <c r="B203" i="34"/>
  <c r="C203" i="34"/>
  <c r="D203" i="34"/>
  <c r="E203" i="34"/>
  <c r="F203" i="34"/>
  <c r="G203" i="34"/>
  <c r="H203" i="34"/>
  <c r="I203" i="34"/>
  <c r="J203" i="34"/>
  <c r="A204" i="34"/>
  <c r="B204" i="34"/>
  <c r="C204" i="34"/>
  <c r="D204" i="34"/>
  <c r="E204" i="34"/>
  <c r="F204" i="34"/>
  <c r="G204" i="34"/>
  <c r="H204" i="34"/>
  <c r="I204" i="34"/>
  <c r="J204" i="34"/>
  <c r="A205" i="34"/>
  <c r="B205" i="34"/>
  <c r="C205" i="34"/>
  <c r="D205" i="34"/>
  <c r="E205" i="34"/>
  <c r="F205" i="34"/>
  <c r="G205" i="34"/>
  <c r="H205" i="34"/>
  <c r="I205" i="34"/>
  <c r="J205" i="34"/>
  <c r="A206" i="34"/>
  <c r="B206" i="34"/>
  <c r="C206" i="34"/>
  <c r="D206" i="34"/>
  <c r="E206" i="34"/>
  <c r="F206" i="34"/>
  <c r="G206" i="34"/>
  <c r="H206" i="34"/>
  <c r="I206" i="34"/>
  <c r="J206" i="34"/>
  <c r="A159" i="34"/>
  <c r="B159" i="34"/>
  <c r="C159" i="34"/>
  <c r="D159" i="34"/>
  <c r="E159" i="34"/>
  <c r="F159" i="34"/>
  <c r="G159" i="34"/>
  <c r="H159" i="34"/>
  <c r="I159" i="34"/>
  <c r="J159" i="34"/>
  <c r="A160" i="34"/>
  <c r="B160" i="34"/>
  <c r="C160" i="34"/>
  <c r="D160" i="34"/>
  <c r="E160" i="34"/>
  <c r="F160" i="34"/>
  <c r="G160" i="34"/>
  <c r="H160" i="34"/>
  <c r="I160" i="34"/>
  <c r="J160" i="34"/>
  <c r="A161" i="34"/>
  <c r="B161" i="34"/>
  <c r="C161" i="34"/>
  <c r="D161" i="34"/>
  <c r="E161" i="34"/>
  <c r="F161" i="34"/>
  <c r="G161" i="34"/>
  <c r="H161" i="34"/>
  <c r="I161" i="34"/>
  <c r="J161" i="34"/>
  <c r="A162" i="34"/>
  <c r="B162" i="34"/>
  <c r="C162" i="34"/>
  <c r="D162" i="34"/>
  <c r="E162" i="34"/>
  <c r="F162" i="34"/>
  <c r="G162" i="34"/>
  <c r="H162" i="34"/>
  <c r="I162" i="34"/>
  <c r="J162" i="34"/>
  <c r="A163" i="34"/>
  <c r="B163" i="34"/>
  <c r="C163" i="34"/>
  <c r="D163" i="34"/>
  <c r="E163" i="34"/>
  <c r="F163" i="34"/>
  <c r="G163" i="34"/>
  <c r="H163" i="34"/>
  <c r="I163" i="34"/>
  <c r="J163" i="34"/>
  <c r="A164" i="34"/>
  <c r="B164" i="34"/>
  <c r="C164" i="34"/>
  <c r="D164" i="34"/>
  <c r="E164" i="34"/>
  <c r="F164" i="34"/>
  <c r="G164" i="34"/>
  <c r="H164" i="34"/>
  <c r="I164" i="34"/>
  <c r="J164" i="34"/>
  <c r="A165" i="34"/>
  <c r="B165" i="34"/>
  <c r="C165" i="34"/>
  <c r="D165" i="34"/>
  <c r="E165" i="34"/>
  <c r="F165" i="34"/>
  <c r="G165" i="34"/>
  <c r="H165" i="34"/>
  <c r="I165" i="34"/>
  <c r="J165" i="34"/>
  <c r="A166" i="34"/>
  <c r="B166" i="34"/>
  <c r="C166" i="34"/>
  <c r="D166" i="34"/>
  <c r="E166" i="34"/>
  <c r="F166" i="34"/>
  <c r="G166" i="34"/>
  <c r="H166" i="34"/>
  <c r="I166" i="34"/>
  <c r="J166" i="34"/>
  <c r="A167" i="34"/>
  <c r="B167" i="34"/>
  <c r="C167" i="34"/>
  <c r="D167" i="34"/>
  <c r="E167" i="34"/>
  <c r="F167" i="34"/>
  <c r="G167" i="34"/>
  <c r="H167" i="34"/>
  <c r="I167" i="34"/>
  <c r="J167" i="34"/>
  <c r="A168" i="34"/>
  <c r="B168" i="34"/>
  <c r="C168" i="34"/>
  <c r="D168" i="34"/>
  <c r="E168" i="34"/>
  <c r="F168" i="34"/>
  <c r="G168" i="34"/>
  <c r="H168" i="34"/>
  <c r="I168" i="34"/>
  <c r="J168" i="34"/>
  <c r="A169" i="34"/>
  <c r="B169" i="34"/>
  <c r="C169" i="34"/>
  <c r="D169" i="34"/>
  <c r="E169" i="34"/>
  <c r="F169" i="34"/>
  <c r="G169" i="34"/>
  <c r="H169" i="34"/>
  <c r="I169" i="34"/>
  <c r="J169" i="34"/>
  <c r="A170" i="34"/>
  <c r="B170" i="34"/>
  <c r="C170" i="34"/>
  <c r="D170" i="34"/>
  <c r="E170" i="34"/>
  <c r="F170" i="34"/>
  <c r="G170" i="34"/>
  <c r="H170" i="34"/>
  <c r="I170" i="34"/>
  <c r="J170" i="34"/>
  <c r="A171" i="34"/>
  <c r="B171" i="34"/>
  <c r="C171" i="34"/>
  <c r="D171" i="34"/>
  <c r="E171" i="34"/>
  <c r="F171" i="34"/>
  <c r="G171" i="34"/>
  <c r="H171" i="34"/>
  <c r="I171" i="34"/>
  <c r="J171" i="34"/>
  <c r="A172" i="34"/>
  <c r="B172" i="34"/>
  <c r="C172" i="34"/>
  <c r="D172" i="34"/>
  <c r="E172" i="34"/>
  <c r="F172" i="34"/>
  <c r="G172" i="34"/>
  <c r="H172" i="34"/>
  <c r="I172" i="34"/>
  <c r="J172" i="34"/>
  <c r="A173" i="34"/>
  <c r="B173" i="34"/>
  <c r="C173" i="34"/>
  <c r="D173" i="34"/>
  <c r="E173" i="34"/>
  <c r="F173" i="34"/>
  <c r="G173" i="34"/>
  <c r="H173" i="34"/>
  <c r="I173" i="34"/>
  <c r="J173" i="34"/>
  <c r="A174" i="34"/>
  <c r="B174" i="34"/>
  <c r="C174" i="34"/>
  <c r="D174" i="34"/>
  <c r="E174" i="34"/>
  <c r="F174" i="34"/>
  <c r="G174" i="34"/>
  <c r="H174" i="34"/>
  <c r="I174" i="34"/>
  <c r="J174" i="34"/>
  <c r="A175" i="34"/>
  <c r="B175" i="34"/>
  <c r="C175" i="34"/>
  <c r="D175" i="34"/>
  <c r="E175" i="34"/>
  <c r="F175" i="34"/>
  <c r="G175" i="34"/>
  <c r="H175" i="34"/>
  <c r="I175" i="34"/>
  <c r="J175" i="34"/>
  <c r="A176" i="34"/>
  <c r="B176" i="34"/>
  <c r="C176" i="34"/>
  <c r="D176" i="34"/>
  <c r="E176" i="34"/>
  <c r="F176" i="34"/>
  <c r="G176" i="34"/>
  <c r="H176" i="34"/>
  <c r="I176" i="34"/>
  <c r="J176" i="34"/>
  <c r="A177" i="34"/>
  <c r="B177" i="34"/>
  <c r="C177" i="34"/>
  <c r="D177" i="34"/>
  <c r="E177" i="34"/>
  <c r="F177" i="34"/>
  <c r="G177" i="34"/>
  <c r="H177" i="34"/>
  <c r="I177" i="34"/>
  <c r="J177" i="34"/>
  <c r="A178" i="34"/>
  <c r="B178" i="34"/>
  <c r="C178" i="34"/>
  <c r="D178" i="34"/>
  <c r="E178" i="34"/>
  <c r="F178" i="34"/>
  <c r="G178" i="34"/>
  <c r="H178" i="34"/>
  <c r="I178" i="34"/>
  <c r="J178" i="34"/>
  <c r="A179" i="34"/>
  <c r="B179" i="34"/>
  <c r="C179" i="34"/>
  <c r="D179" i="34"/>
  <c r="E179" i="34"/>
  <c r="F179" i="34"/>
  <c r="G179" i="34"/>
  <c r="H179" i="34"/>
  <c r="I179" i="34"/>
  <c r="J179" i="34"/>
  <c r="A180" i="34"/>
  <c r="B180" i="34"/>
  <c r="C180" i="34"/>
  <c r="D180" i="34"/>
  <c r="E180" i="34"/>
  <c r="F180" i="34"/>
  <c r="G180" i="34"/>
  <c r="H180" i="34"/>
  <c r="I180" i="34"/>
  <c r="J180" i="34"/>
  <c r="A133" i="34"/>
  <c r="B133" i="34"/>
  <c r="C133" i="34"/>
  <c r="D133" i="34"/>
  <c r="E133" i="34"/>
  <c r="F133" i="34"/>
  <c r="G133" i="34"/>
  <c r="H133" i="34"/>
  <c r="I133" i="34"/>
  <c r="J133" i="34"/>
  <c r="A134" i="34"/>
  <c r="B134" i="34"/>
  <c r="C134" i="34"/>
  <c r="D134" i="34"/>
  <c r="E134" i="34"/>
  <c r="F134" i="34"/>
  <c r="G134" i="34"/>
  <c r="H134" i="34"/>
  <c r="I134" i="34"/>
  <c r="J134" i="34"/>
  <c r="A135" i="34"/>
  <c r="B135" i="34"/>
  <c r="C135" i="34"/>
  <c r="D135" i="34"/>
  <c r="E135" i="34"/>
  <c r="F135" i="34"/>
  <c r="G135" i="34"/>
  <c r="H135" i="34"/>
  <c r="I135" i="34"/>
  <c r="J135" i="34"/>
  <c r="A136" i="34"/>
  <c r="B136" i="34"/>
  <c r="C136" i="34"/>
  <c r="D136" i="34"/>
  <c r="E136" i="34"/>
  <c r="F136" i="34"/>
  <c r="G136" i="34"/>
  <c r="H136" i="34"/>
  <c r="I136" i="34"/>
  <c r="J136" i="34"/>
  <c r="A137" i="34"/>
  <c r="B137" i="34"/>
  <c r="C137" i="34"/>
  <c r="D137" i="34"/>
  <c r="E137" i="34"/>
  <c r="F137" i="34"/>
  <c r="G137" i="34"/>
  <c r="H137" i="34"/>
  <c r="I137" i="34"/>
  <c r="J137" i="34"/>
  <c r="A138" i="34"/>
  <c r="B138" i="34"/>
  <c r="C138" i="34"/>
  <c r="D138" i="34"/>
  <c r="E138" i="34"/>
  <c r="F138" i="34"/>
  <c r="G138" i="34"/>
  <c r="H138" i="34"/>
  <c r="I138" i="34"/>
  <c r="J138" i="34"/>
  <c r="A139" i="34"/>
  <c r="B139" i="34"/>
  <c r="C139" i="34"/>
  <c r="D139" i="34"/>
  <c r="E139" i="34"/>
  <c r="F139" i="34"/>
  <c r="G139" i="34"/>
  <c r="H139" i="34"/>
  <c r="I139" i="34"/>
  <c r="J139" i="34"/>
  <c r="A140" i="34"/>
  <c r="B140" i="34"/>
  <c r="C140" i="34"/>
  <c r="D140" i="34"/>
  <c r="E140" i="34"/>
  <c r="F140" i="34"/>
  <c r="G140" i="34"/>
  <c r="H140" i="34"/>
  <c r="I140" i="34"/>
  <c r="J140" i="34"/>
  <c r="A141" i="34"/>
  <c r="B141" i="34"/>
  <c r="C141" i="34"/>
  <c r="D141" i="34"/>
  <c r="E141" i="34"/>
  <c r="F141" i="34"/>
  <c r="G141" i="34"/>
  <c r="H141" i="34"/>
  <c r="I141" i="34"/>
  <c r="J141" i="34"/>
  <c r="A142" i="34"/>
  <c r="B142" i="34"/>
  <c r="C142" i="34"/>
  <c r="D142" i="34"/>
  <c r="E142" i="34"/>
  <c r="F142" i="34"/>
  <c r="G142" i="34"/>
  <c r="H142" i="34"/>
  <c r="I142" i="34"/>
  <c r="J142" i="34"/>
  <c r="A143" i="34"/>
  <c r="B143" i="34"/>
  <c r="C143" i="34"/>
  <c r="D143" i="34"/>
  <c r="E143" i="34"/>
  <c r="F143" i="34"/>
  <c r="G143" i="34"/>
  <c r="H143" i="34"/>
  <c r="I143" i="34"/>
  <c r="J143" i="34"/>
  <c r="A144" i="34"/>
  <c r="B144" i="34"/>
  <c r="C144" i="34"/>
  <c r="D144" i="34"/>
  <c r="E144" i="34"/>
  <c r="F144" i="34"/>
  <c r="G144" i="34"/>
  <c r="H144" i="34"/>
  <c r="I144" i="34"/>
  <c r="J144" i="34"/>
  <c r="A145" i="34"/>
  <c r="B145" i="34"/>
  <c r="C145" i="34"/>
  <c r="D145" i="34"/>
  <c r="E145" i="34"/>
  <c r="F145" i="34"/>
  <c r="G145" i="34"/>
  <c r="H145" i="34"/>
  <c r="I145" i="34"/>
  <c r="J145" i="34"/>
  <c r="A146" i="34"/>
  <c r="B146" i="34"/>
  <c r="C146" i="34"/>
  <c r="D146" i="34"/>
  <c r="E146" i="34"/>
  <c r="F146" i="34"/>
  <c r="G146" i="34"/>
  <c r="H146" i="34"/>
  <c r="I146" i="34"/>
  <c r="J146" i="34"/>
  <c r="A147" i="34"/>
  <c r="B147" i="34"/>
  <c r="C147" i="34"/>
  <c r="D147" i="34"/>
  <c r="E147" i="34"/>
  <c r="F147" i="34"/>
  <c r="G147" i="34"/>
  <c r="H147" i="34"/>
  <c r="I147" i="34"/>
  <c r="J147" i="34"/>
  <c r="A148" i="34"/>
  <c r="B148" i="34"/>
  <c r="C148" i="34"/>
  <c r="D148" i="34"/>
  <c r="E148" i="34"/>
  <c r="F148" i="34"/>
  <c r="G148" i="34"/>
  <c r="H148" i="34"/>
  <c r="I148" i="34"/>
  <c r="J148" i="34"/>
  <c r="A149" i="34"/>
  <c r="B149" i="34"/>
  <c r="C149" i="34"/>
  <c r="D149" i="34"/>
  <c r="E149" i="34"/>
  <c r="F149" i="34"/>
  <c r="G149" i="34"/>
  <c r="H149" i="34"/>
  <c r="I149" i="34"/>
  <c r="J149" i="34"/>
  <c r="A150" i="34"/>
  <c r="B150" i="34"/>
  <c r="C150" i="34"/>
  <c r="D150" i="34"/>
  <c r="E150" i="34"/>
  <c r="F150" i="34"/>
  <c r="G150" i="34"/>
  <c r="H150" i="34"/>
  <c r="I150" i="34"/>
  <c r="J150" i="34"/>
  <c r="A151" i="34"/>
  <c r="B151" i="34"/>
  <c r="C151" i="34"/>
  <c r="D151" i="34"/>
  <c r="E151" i="34"/>
  <c r="F151" i="34"/>
  <c r="G151" i="34"/>
  <c r="H151" i="34"/>
  <c r="I151" i="34"/>
  <c r="J151" i="34"/>
  <c r="A152" i="34"/>
  <c r="B152" i="34"/>
  <c r="C152" i="34"/>
  <c r="D152" i="34"/>
  <c r="E152" i="34"/>
  <c r="F152" i="34"/>
  <c r="G152" i="34"/>
  <c r="H152" i="34"/>
  <c r="I152" i="34"/>
  <c r="J152" i="34"/>
  <c r="A153" i="34"/>
  <c r="B153" i="34"/>
  <c r="C153" i="34"/>
  <c r="D153" i="34"/>
  <c r="E153" i="34"/>
  <c r="F153" i="34"/>
  <c r="G153" i="34"/>
  <c r="H153" i="34"/>
  <c r="I153" i="34"/>
  <c r="J153" i="34"/>
  <c r="A154" i="34"/>
  <c r="B154" i="34"/>
  <c r="C154" i="34"/>
  <c r="D154" i="34"/>
  <c r="E154" i="34"/>
  <c r="F154" i="34"/>
  <c r="G154" i="34"/>
  <c r="H154" i="34"/>
  <c r="I154" i="34"/>
  <c r="J154" i="34"/>
  <c r="A107" i="34"/>
  <c r="B107" i="34"/>
  <c r="C107" i="34"/>
  <c r="D107" i="34"/>
  <c r="E107" i="34"/>
  <c r="F107" i="34"/>
  <c r="G107" i="34"/>
  <c r="H107" i="34"/>
  <c r="I107" i="34"/>
  <c r="J107" i="34"/>
  <c r="A108" i="34"/>
  <c r="B108" i="34"/>
  <c r="C108" i="34"/>
  <c r="D108" i="34"/>
  <c r="E108" i="34"/>
  <c r="F108" i="34"/>
  <c r="G108" i="34"/>
  <c r="H108" i="34"/>
  <c r="I108" i="34"/>
  <c r="J108" i="34"/>
  <c r="A109" i="34"/>
  <c r="B109" i="34"/>
  <c r="C109" i="34"/>
  <c r="D109" i="34"/>
  <c r="E109" i="34"/>
  <c r="F109" i="34"/>
  <c r="G109" i="34"/>
  <c r="H109" i="34"/>
  <c r="I109" i="34"/>
  <c r="J109" i="34"/>
  <c r="A110" i="34"/>
  <c r="B110" i="34"/>
  <c r="C110" i="34"/>
  <c r="D110" i="34"/>
  <c r="E110" i="34"/>
  <c r="F110" i="34"/>
  <c r="G110" i="34"/>
  <c r="H110" i="34"/>
  <c r="I110" i="34"/>
  <c r="J110" i="34"/>
  <c r="A111" i="34"/>
  <c r="B111" i="34"/>
  <c r="C111" i="34"/>
  <c r="D111" i="34"/>
  <c r="E111" i="34"/>
  <c r="F111" i="34"/>
  <c r="G111" i="34"/>
  <c r="H111" i="34"/>
  <c r="I111" i="34"/>
  <c r="J111" i="34"/>
  <c r="A112" i="34"/>
  <c r="B112" i="34"/>
  <c r="C112" i="34"/>
  <c r="D112" i="34"/>
  <c r="E112" i="34"/>
  <c r="F112" i="34"/>
  <c r="G112" i="34"/>
  <c r="H112" i="34"/>
  <c r="I112" i="34"/>
  <c r="J112" i="34"/>
  <c r="A113" i="34"/>
  <c r="B113" i="34"/>
  <c r="C113" i="34"/>
  <c r="D113" i="34"/>
  <c r="E113" i="34"/>
  <c r="F113" i="34"/>
  <c r="G113" i="34"/>
  <c r="H113" i="34"/>
  <c r="I113" i="34"/>
  <c r="J113" i="34"/>
  <c r="A114" i="34"/>
  <c r="B114" i="34"/>
  <c r="C114" i="34"/>
  <c r="D114" i="34"/>
  <c r="E114" i="34"/>
  <c r="F114" i="34"/>
  <c r="G114" i="34"/>
  <c r="H114" i="34"/>
  <c r="I114" i="34"/>
  <c r="J114" i="34"/>
  <c r="A115" i="34"/>
  <c r="B115" i="34"/>
  <c r="C115" i="34"/>
  <c r="D115" i="34"/>
  <c r="E115" i="34"/>
  <c r="F115" i="34"/>
  <c r="G115" i="34"/>
  <c r="H115" i="34"/>
  <c r="I115" i="34"/>
  <c r="J115" i="34"/>
  <c r="A116" i="34"/>
  <c r="B116" i="34"/>
  <c r="C116" i="34"/>
  <c r="D116" i="34"/>
  <c r="E116" i="34"/>
  <c r="F116" i="34"/>
  <c r="G116" i="34"/>
  <c r="H116" i="34"/>
  <c r="I116" i="34"/>
  <c r="J116" i="34"/>
  <c r="A117" i="34"/>
  <c r="B117" i="34"/>
  <c r="C117" i="34"/>
  <c r="D117" i="34"/>
  <c r="E117" i="34"/>
  <c r="F117" i="34"/>
  <c r="G117" i="34"/>
  <c r="H117" i="34"/>
  <c r="I117" i="34"/>
  <c r="J117" i="34"/>
  <c r="A118" i="34"/>
  <c r="B118" i="34"/>
  <c r="C118" i="34"/>
  <c r="D118" i="34"/>
  <c r="E118" i="34"/>
  <c r="F118" i="34"/>
  <c r="G118" i="34"/>
  <c r="H118" i="34"/>
  <c r="I118" i="34"/>
  <c r="J118" i="34"/>
  <c r="A119" i="34"/>
  <c r="B119" i="34"/>
  <c r="C119" i="34"/>
  <c r="D119" i="34"/>
  <c r="E119" i="34"/>
  <c r="F119" i="34"/>
  <c r="G119" i="34"/>
  <c r="H119" i="34"/>
  <c r="I119" i="34"/>
  <c r="J119" i="34"/>
  <c r="A120" i="34"/>
  <c r="B120" i="34"/>
  <c r="C120" i="34"/>
  <c r="D120" i="34"/>
  <c r="E120" i="34"/>
  <c r="F120" i="34"/>
  <c r="G120" i="34"/>
  <c r="H120" i="34"/>
  <c r="I120" i="34"/>
  <c r="J120" i="34"/>
  <c r="A121" i="34"/>
  <c r="B121" i="34"/>
  <c r="C121" i="34"/>
  <c r="D121" i="34"/>
  <c r="E121" i="34"/>
  <c r="F121" i="34"/>
  <c r="G121" i="34"/>
  <c r="H121" i="34"/>
  <c r="I121" i="34"/>
  <c r="J121" i="34"/>
  <c r="A122" i="34"/>
  <c r="B122" i="34"/>
  <c r="C122" i="34"/>
  <c r="D122" i="34"/>
  <c r="E122" i="34"/>
  <c r="F122" i="34"/>
  <c r="G122" i="34"/>
  <c r="H122" i="34"/>
  <c r="I122" i="34"/>
  <c r="J122" i="34"/>
  <c r="A123" i="34"/>
  <c r="B123" i="34"/>
  <c r="C123" i="34"/>
  <c r="D123" i="34"/>
  <c r="E123" i="34"/>
  <c r="F123" i="34"/>
  <c r="G123" i="34"/>
  <c r="H123" i="34"/>
  <c r="I123" i="34"/>
  <c r="J123" i="34"/>
  <c r="A124" i="34"/>
  <c r="B124" i="34"/>
  <c r="C124" i="34"/>
  <c r="D124" i="34"/>
  <c r="E124" i="34"/>
  <c r="F124" i="34"/>
  <c r="G124" i="34"/>
  <c r="H124" i="34"/>
  <c r="I124" i="34"/>
  <c r="J124" i="34"/>
  <c r="A125" i="34"/>
  <c r="B125" i="34"/>
  <c r="C125" i="34"/>
  <c r="D125" i="34"/>
  <c r="E125" i="34"/>
  <c r="F125" i="34"/>
  <c r="G125" i="34"/>
  <c r="H125" i="34"/>
  <c r="I125" i="34"/>
  <c r="J125" i="34"/>
  <c r="A126" i="34"/>
  <c r="B126" i="34"/>
  <c r="C126" i="34"/>
  <c r="D126" i="34"/>
  <c r="E126" i="34"/>
  <c r="F126" i="34"/>
  <c r="G126" i="34"/>
  <c r="H126" i="34"/>
  <c r="I126" i="34"/>
  <c r="J126" i="34"/>
  <c r="A127" i="34"/>
  <c r="B127" i="34"/>
  <c r="C127" i="34"/>
  <c r="D127" i="34"/>
  <c r="E127" i="34"/>
  <c r="F127" i="34"/>
  <c r="G127" i="34"/>
  <c r="H127" i="34"/>
  <c r="I127" i="34"/>
  <c r="J127" i="34"/>
  <c r="A128" i="34"/>
  <c r="B128" i="34"/>
  <c r="C128" i="34"/>
  <c r="D128" i="34"/>
  <c r="E128" i="34"/>
  <c r="F128" i="34"/>
  <c r="G128" i="34"/>
  <c r="H128" i="34"/>
  <c r="I128" i="34"/>
  <c r="J128" i="34"/>
  <c r="A81" i="34"/>
  <c r="B81" i="34"/>
  <c r="C81" i="34"/>
  <c r="D81" i="34"/>
  <c r="E81" i="34"/>
  <c r="F81" i="34"/>
  <c r="G81" i="34"/>
  <c r="H81" i="34"/>
  <c r="I81" i="34"/>
  <c r="J81" i="34"/>
  <c r="A82" i="34"/>
  <c r="B82" i="34"/>
  <c r="C82" i="34"/>
  <c r="D82" i="34"/>
  <c r="E82" i="34"/>
  <c r="F82" i="34"/>
  <c r="G82" i="34"/>
  <c r="H82" i="34"/>
  <c r="I82" i="34"/>
  <c r="J82" i="34"/>
  <c r="A83" i="34"/>
  <c r="B83" i="34"/>
  <c r="C83" i="34"/>
  <c r="D83" i="34"/>
  <c r="E83" i="34"/>
  <c r="F83" i="34"/>
  <c r="G83" i="34"/>
  <c r="H83" i="34"/>
  <c r="I83" i="34"/>
  <c r="J83" i="34"/>
  <c r="A84" i="34"/>
  <c r="B84" i="34"/>
  <c r="C84" i="34"/>
  <c r="D84" i="34"/>
  <c r="E84" i="34"/>
  <c r="F84" i="34"/>
  <c r="G84" i="34"/>
  <c r="H84" i="34"/>
  <c r="I84" i="34"/>
  <c r="J84" i="34"/>
  <c r="A85" i="34"/>
  <c r="B85" i="34"/>
  <c r="C85" i="34"/>
  <c r="D85" i="34"/>
  <c r="E85" i="34"/>
  <c r="F85" i="34"/>
  <c r="G85" i="34"/>
  <c r="H85" i="34"/>
  <c r="I85" i="34"/>
  <c r="J85" i="34"/>
  <c r="A86" i="34"/>
  <c r="B86" i="34"/>
  <c r="C86" i="34"/>
  <c r="D86" i="34"/>
  <c r="E86" i="34"/>
  <c r="F86" i="34"/>
  <c r="G86" i="34"/>
  <c r="H86" i="34"/>
  <c r="I86" i="34"/>
  <c r="J86" i="34"/>
  <c r="A87" i="34"/>
  <c r="B87" i="34"/>
  <c r="C87" i="34"/>
  <c r="D87" i="34"/>
  <c r="E87" i="34"/>
  <c r="F87" i="34"/>
  <c r="G87" i="34"/>
  <c r="H87" i="34"/>
  <c r="I87" i="34"/>
  <c r="J87" i="34"/>
  <c r="A88" i="34"/>
  <c r="B88" i="34"/>
  <c r="C88" i="34"/>
  <c r="D88" i="34"/>
  <c r="E88" i="34"/>
  <c r="F88" i="34"/>
  <c r="G88" i="34"/>
  <c r="H88" i="34"/>
  <c r="I88" i="34"/>
  <c r="J88" i="34"/>
  <c r="A89" i="34"/>
  <c r="B89" i="34"/>
  <c r="C89" i="34"/>
  <c r="D89" i="34"/>
  <c r="E89" i="34"/>
  <c r="F89" i="34"/>
  <c r="G89" i="34"/>
  <c r="H89" i="34"/>
  <c r="I89" i="34"/>
  <c r="J89" i="34"/>
  <c r="A90" i="34"/>
  <c r="B90" i="34"/>
  <c r="C90" i="34"/>
  <c r="D90" i="34"/>
  <c r="E90" i="34"/>
  <c r="F90" i="34"/>
  <c r="G90" i="34"/>
  <c r="H90" i="34"/>
  <c r="I90" i="34"/>
  <c r="J90" i="34"/>
  <c r="A91" i="34"/>
  <c r="B91" i="34"/>
  <c r="C91" i="34"/>
  <c r="D91" i="34"/>
  <c r="E91" i="34"/>
  <c r="F91" i="34"/>
  <c r="G91" i="34"/>
  <c r="H91" i="34"/>
  <c r="I91" i="34"/>
  <c r="J91" i="34"/>
  <c r="A92" i="34"/>
  <c r="B92" i="34"/>
  <c r="C92" i="34"/>
  <c r="D92" i="34"/>
  <c r="E92" i="34"/>
  <c r="F92" i="34"/>
  <c r="G92" i="34"/>
  <c r="H92" i="34"/>
  <c r="I92" i="34"/>
  <c r="J92" i="34"/>
  <c r="A93" i="34"/>
  <c r="B93" i="34"/>
  <c r="C93" i="34"/>
  <c r="D93" i="34"/>
  <c r="E93" i="34"/>
  <c r="F93" i="34"/>
  <c r="G93" i="34"/>
  <c r="H93" i="34"/>
  <c r="I93" i="34"/>
  <c r="J93" i="34"/>
  <c r="A94" i="34"/>
  <c r="B94" i="34"/>
  <c r="C94" i="34"/>
  <c r="D94" i="34"/>
  <c r="E94" i="34"/>
  <c r="F94" i="34"/>
  <c r="G94" i="34"/>
  <c r="H94" i="34"/>
  <c r="I94" i="34"/>
  <c r="J94" i="34"/>
  <c r="A95" i="34"/>
  <c r="B95" i="34"/>
  <c r="C95" i="34"/>
  <c r="D95" i="34"/>
  <c r="E95" i="34"/>
  <c r="F95" i="34"/>
  <c r="G95" i="34"/>
  <c r="H95" i="34"/>
  <c r="I95" i="34"/>
  <c r="J95" i="34"/>
  <c r="A96" i="34"/>
  <c r="B96" i="34"/>
  <c r="C96" i="34"/>
  <c r="D96" i="34"/>
  <c r="E96" i="34"/>
  <c r="F96" i="34"/>
  <c r="G96" i="34"/>
  <c r="H96" i="34"/>
  <c r="I96" i="34"/>
  <c r="J96" i="34"/>
  <c r="A97" i="34"/>
  <c r="B97" i="34"/>
  <c r="C97" i="34"/>
  <c r="D97" i="34"/>
  <c r="E97" i="34"/>
  <c r="F97" i="34"/>
  <c r="G97" i="34"/>
  <c r="H97" i="34"/>
  <c r="I97" i="34"/>
  <c r="J97" i="34"/>
  <c r="A98" i="34"/>
  <c r="B98" i="34"/>
  <c r="C98" i="34"/>
  <c r="D98" i="34"/>
  <c r="E98" i="34"/>
  <c r="F98" i="34"/>
  <c r="G98" i="34"/>
  <c r="H98" i="34"/>
  <c r="I98" i="34"/>
  <c r="J98" i="34"/>
  <c r="A99" i="34"/>
  <c r="B99" i="34"/>
  <c r="C99" i="34"/>
  <c r="D99" i="34"/>
  <c r="E99" i="34"/>
  <c r="F99" i="34"/>
  <c r="G99" i="34"/>
  <c r="H99" i="34"/>
  <c r="I99" i="34"/>
  <c r="J99" i="34"/>
  <c r="A100" i="34"/>
  <c r="B100" i="34"/>
  <c r="C100" i="34"/>
  <c r="D100" i="34"/>
  <c r="E100" i="34"/>
  <c r="F100" i="34"/>
  <c r="G100" i="34"/>
  <c r="H100" i="34"/>
  <c r="I100" i="34"/>
  <c r="J100" i="34"/>
  <c r="A101" i="34"/>
  <c r="B101" i="34"/>
  <c r="C101" i="34"/>
  <c r="D101" i="34"/>
  <c r="E101" i="34"/>
  <c r="F101" i="34"/>
  <c r="G101" i="34"/>
  <c r="H101" i="34"/>
  <c r="I101" i="34"/>
  <c r="J101" i="34"/>
  <c r="A102" i="34"/>
  <c r="B102" i="34"/>
  <c r="C102" i="34"/>
  <c r="D102" i="34"/>
  <c r="E102" i="34"/>
  <c r="F102" i="34"/>
  <c r="G102" i="34"/>
  <c r="H102" i="34"/>
  <c r="I102" i="34"/>
  <c r="J102" i="34"/>
  <c r="A55" i="34"/>
  <c r="B55" i="34"/>
  <c r="C55" i="34"/>
  <c r="D55" i="34"/>
  <c r="E55" i="34"/>
  <c r="F55" i="34"/>
  <c r="G55" i="34"/>
  <c r="H55" i="34"/>
  <c r="I55" i="34"/>
  <c r="J55" i="34"/>
  <c r="A56" i="34"/>
  <c r="B56" i="34"/>
  <c r="C56" i="34"/>
  <c r="D56" i="34"/>
  <c r="E56" i="34"/>
  <c r="F56" i="34"/>
  <c r="G56" i="34"/>
  <c r="H56" i="34"/>
  <c r="I56" i="34"/>
  <c r="J56" i="34"/>
  <c r="A57" i="34"/>
  <c r="B57" i="34"/>
  <c r="C57" i="34"/>
  <c r="D57" i="34"/>
  <c r="E57" i="34"/>
  <c r="F57" i="34"/>
  <c r="G57" i="34"/>
  <c r="H57" i="34"/>
  <c r="I57" i="34"/>
  <c r="J57" i="34"/>
  <c r="A58" i="34"/>
  <c r="B58" i="34"/>
  <c r="C58" i="34"/>
  <c r="D58" i="34"/>
  <c r="E58" i="34"/>
  <c r="F58" i="34"/>
  <c r="G58" i="34"/>
  <c r="H58" i="34"/>
  <c r="I58" i="34"/>
  <c r="J58" i="34"/>
  <c r="A59" i="34"/>
  <c r="B59" i="34"/>
  <c r="C59" i="34"/>
  <c r="D59" i="34"/>
  <c r="E59" i="34"/>
  <c r="F59" i="34"/>
  <c r="G59" i="34"/>
  <c r="H59" i="34"/>
  <c r="I59" i="34"/>
  <c r="J59" i="34"/>
  <c r="A60" i="34"/>
  <c r="B60" i="34"/>
  <c r="C60" i="34"/>
  <c r="D60" i="34"/>
  <c r="E60" i="34"/>
  <c r="F60" i="34"/>
  <c r="G60" i="34"/>
  <c r="H60" i="34"/>
  <c r="I60" i="34"/>
  <c r="J60" i="34"/>
  <c r="A61" i="34"/>
  <c r="B61" i="34"/>
  <c r="C61" i="34"/>
  <c r="D61" i="34"/>
  <c r="E61" i="34"/>
  <c r="F61" i="34"/>
  <c r="G61" i="34"/>
  <c r="H61" i="34"/>
  <c r="I61" i="34"/>
  <c r="J61" i="34"/>
  <c r="A62" i="34"/>
  <c r="B62" i="34"/>
  <c r="C62" i="34"/>
  <c r="D62" i="34"/>
  <c r="E62" i="34"/>
  <c r="F62" i="34"/>
  <c r="G62" i="34"/>
  <c r="H62" i="34"/>
  <c r="I62" i="34"/>
  <c r="J62" i="34"/>
  <c r="A63" i="34"/>
  <c r="B63" i="34"/>
  <c r="C63" i="34"/>
  <c r="D63" i="34"/>
  <c r="E63" i="34"/>
  <c r="F63" i="34"/>
  <c r="G63" i="34"/>
  <c r="H63" i="34"/>
  <c r="I63" i="34"/>
  <c r="J63" i="34"/>
  <c r="A64" i="34"/>
  <c r="B64" i="34"/>
  <c r="C64" i="34"/>
  <c r="D64" i="34"/>
  <c r="E64" i="34"/>
  <c r="F64" i="34"/>
  <c r="G64" i="34"/>
  <c r="H64" i="34"/>
  <c r="I64" i="34"/>
  <c r="J64" i="34"/>
  <c r="A65" i="34"/>
  <c r="B65" i="34"/>
  <c r="C65" i="34"/>
  <c r="D65" i="34"/>
  <c r="E65" i="34"/>
  <c r="F65" i="34"/>
  <c r="G65" i="34"/>
  <c r="H65" i="34"/>
  <c r="I65" i="34"/>
  <c r="J65" i="34"/>
  <c r="A66" i="34"/>
  <c r="B66" i="34"/>
  <c r="C66" i="34"/>
  <c r="D66" i="34"/>
  <c r="E66" i="34"/>
  <c r="F66" i="34"/>
  <c r="G66" i="34"/>
  <c r="H66" i="34"/>
  <c r="I66" i="34"/>
  <c r="J66" i="34"/>
  <c r="A67" i="34"/>
  <c r="B67" i="34"/>
  <c r="C67" i="34"/>
  <c r="D67" i="34"/>
  <c r="E67" i="34"/>
  <c r="F67" i="34"/>
  <c r="G67" i="34"/>
  <c r="H67" i="34"/>
  <c r="I67" i="34"/>
  <c r="J67" i="34"/>
  <c r="A68" i="34"/>
  <c r="B68" i="34"/>
  <c r="C68" i="34"/>
  <c r="D68" i="34"/>
  <c r="E68" i="34"/>
  <c r="F68" i="34"/>
  <c r="G68" i="34"/>
  <c r="H68" i="34"/>
  <c r="I68" i="34"/>
  <c r="J68" i="34"/>
  <c r="A69" i="34"/>
  <c r="B69" i="34"/>
  <c r="C69" i="34"/>
  <c r="D69" i="34"/>
  <c r="E69" i="34"/>
  <c r="F69" i="34"/>
  <c r="G69" i="34"/>
  <c r="H69" i="34"/>
  <c r="I69" i="34"/>
  <c r="J69" i="34"/>
  <c r="A70" i="34"/>
  <c r="B70" i="34"/>
  <c r="C70" i="34"/>
  <c r="D70" i="34"/>
  <c r="E70" i="34"/>
  <c r="F70" i="34"/>
  <c r="G70" i="34"/>
  <c r="H70" i="34"/>
  <c r="I70" i="34"/>
  <c r="J70" i="34"/>
  <c r="A71" i="34"/>
  <c r="B71" i="34"/>
  <c r="C71" i="34"/>
  <c r="D71" i="34"/>
  <c r="E71" i="34"/>
  <c r="F71" i="34"/>
  <c r="G71" i="34"/>
  <c r="H71" i="34"/>
  <c r="I71" i="34"/>
  <c r="J71" i="34"/>
  <c r="A72" i="34"/>
  <c r="B72" i="34"/>
  <c r="C72" i="34"/>
  <c r="D72" i="34"/>
  <c r="E72" i="34"/>
  <c r="F72" i="34"/>
  <c r="G72" i="34"/>
  <c r="H72" i="34"/>
  <c r="I72" i="34"/>
  <c r="J72" i="34"/>
  <c r="A73" i="34"/>
  <c r="B73" i="34"/>
  <c r="C73" i="34"/>
  <c r="D73" i="34"/>
  <c r="E73" i="34"/>
  <c r="F73" i="34"/>
  <c r="G73" i="34"/>
  <c r="H73" i="34"/>
  <c r="I73" i="34"/>
  <c r="J73" i="34"/>
  <c r="A74" i="34"/>
  <c r="B74" i="34"/>
  <c r="C74" i="34"/>
  <c r="D74" i="34"/>
  <c r="E74" i="34"/>
  <c r="F74" i="34"/>
  <c r="G74" i="34"/>
  <c r="H74" i="34"/>
  <c r="I74" i="34"/>
  <c r="J74" i="34"/>
  <c r="A75" i="34"/>
  <c r="B75" i="34"/>
  <c r="C75" i="34"/>
  <c r="D75" i="34"/>
  <c r="E75" i="34"/>
  <c r="F75" i="34"/>
  <c r="G75" i="34"/>
  <c r="H75" i="34"/>
  <c r="I75" i="34"/>
  <c r="J75" i="34"/>
  <c r="A76" i="34"/>
  <c r="B76" i="34"/>
  <c r="C76" i="34"/>
  <c r="D76" i="34"/>
  <c r="E76" i="34"/>
  <c r="F76" i="34"/>
  <c r="G76" i="34"/>
  <c r="H76" i="34"/>
  <c r="I76" i="34"/>
  <c r="J76" i="34"/>
  <c r="A29" i="34"/>
  <c r="B29" i="34"/>
  <c r="C29" i="34"/>
  <c r="D29" i="34"/>
  <c r="E29" i="34"/>
  <c r="F29" i="34"/>
  <c r="G29" i="34"/>
  <c r="H29" i="34"/>
  <c r="I29" i="34"/>
  <c r="J29" i="34"/>
  <c r="A30" i="34"/>
  <c r="B30" i="34"/>
  <c r="C30" i="34"/>
  <c r="D30" i="34"/>
  <c r="E30" i="34"/>
  <c r="F30" i="34"/>
  <c r="G30" i="34"/>
  <c r="H30" i="34"/>
  <c r="I30" i="34"/>
  <c r="J30" i="34"/>
  <c r="A31" i="34"/>
  <c r="B31" i="34"/>
  <c r="C31" i="34"/>
  <c r="D31" i="34"/>
  <c r="E31" i="34"/>
  <c r="F31" i="34"/>
  <c r="G31" i="34"/>
  <c r="H31" i="34"/>
  <c r="I31" i="34"/>
  <c r="J31" i="34"/>
  <c r="A32" i="34"/>
  <c r="B32" i="34"/>
  <c r="C32" i="34"/>
  <c r="D32" i="34"/>
  <c r="E32" i="34"/>
  <c r="F32" i="34"/>
  <c r="G32" i="34"/>
  <c r="H32" i="34"/>
  <c r="I32" i="34"/>
  <c r="J32" i="34"/>
  <c r="A33" i="34"/>
  <c r="B33" i="34"/>
  <c r="C33" i="34"/>
  <c r="D33" i="34"/>
  <c r="E33" i="34"/>
  <c r="F33" i="34"/>
  <c r="G33" i="34"/>
  <c r="H33" i="34"/>
  <c r="I33" i="34"/>
  <c r="J33" i="34"/>
  <c r="A34" i="34"/>
  <c r="B34" i="34"/>
  <c r="C34" i="34"/>
  <c r="D34" i="34"/>
  <c r="E34" i="34"/>
  <c r="F34" i="34"/>
  <c r="G34" i="34"/>
  <c r="H34" i="34"/>
  <c r="I34" i="34"/>
  <c r="J34" i="34"/>
  <c r="A35" i="34"/>
  <c r="B35" i="34"/>
  <c r="C35" i="34"/>
  <c r="D35" i="34"/>
  <c r="E35" i="34"/>
  <c r="F35" i="34"/>
  <c r="G35" i="34"/>
  <c r="H35" i="34"/>
  <c r="I35" i="34"/>
  <c r="J35" i="34"/>
  <c r="A36" i="34"/>
  <c r="B36" i="34"/>
  <c r="C36" i="34"/>
  <c r="D36" i="34"/>
  <c r="E36" i="34"/>
  <c r="F36" i="34"/>
  <c r="G36" i="34"/>
  <c r="H36" i="34"/>
  <c r="I36" i="34"/>
  <c r="J36" i="34"/>
  <c r="A37" i="34"/>
  <c r="B37" i="34"/>
  <c r="C37" i="34"/>
  <c r="D37" i="34"/>
  <c r="E37" i="34"/>
  <c r="F37" i="34"/>
  <c r="G37" i="34"/>
  <c r="H37" i="34"/>
  <c r="I37" i="34"/>
  <c r="J37" i="34"/>
  <c r="A38" i="34"/>
  <c r="B38" i="34"/>
  <c r="C38" i="34"/>
  <c r="D38" i="34"/>
  <c r="E38" i="34"/>
  <c r="F38" i="34"/>
  <c r="G38" i="34"/>
  <c r="H38" i="34"/>
  <c r="I38" i="34"/>
  <c r="J38" i="34"/>
  <c r="A39" i="34"/>
  <c r="B39" i="34"/>
  <c r="C39" i="34"/>
  <c r="D39" i="34"/>
  <c r="E39" i="34"/>
  <c r="F39" i="34"/>
  <c r="G39" i="34"/>
  <c r="H39" i="34"/>
  <c r="I39" i="34"/>
  <c r="J39" i="34"/>
  <c r="A40" i="34"/>
  <c r="B40" i="34"/>
  <c r="C40" i="34"/>
  <c r="D40" i="34"/>
  <c r="E40" i="34"/>
  <c r="F40" i="34"/>
  <c r="G40" i="34"/>
  <c r="H40" i="34"/>
  <c r="I40" i="34"/>
  <c r="J40" i="34"/>
  <c r="A41" i="34"/>
  <c r="B41" i="34"/>
  <c r="C41" i="34"/>
  <c r="D41" i="34"/>
  <c r="E41" i="34"/>
  <c r="F41" i="34"/>
  <c r="G41" i="34"/>
  <c r="H41" i="34"/>
  <c r="I41" i="34"/>
  <c r="J41" i="34"/>
  <c r="A42" i="34"/>
  <c r="B42" i="34"/>
  <c r="C42" i="34"/>
  <c r="D42" i="34"/>
  <c r="E42" i="34"/>
  <c r="F42" i="34"/>
  <c r="G42" i="34"/>
  <c r="H42" i="34"/>
  <c r="I42" i="34"/>
  <c r="J42" i="34"/>
  <c r="A43" i="34"/>
  <c r="B43" i="34"/>
  <c r="C43" i="34"/>
  <c r="D43" i="34"/>
  <c r="E43" i="34"/>
  <c r="F43" i="34"/>
  <c r="G43" i="34"/>
  <c r="H43" i="34"/>
  <c r="I43" i="34"/>
  <c r="J43" i="34"/>
  <c r="A44" i="34"/>
  <c r="B44" i="34"/>
  <c r="C44" i="34"/>
  <c r="D44" i="34"/>
  <c r="E44" i="34"/>
  <c r="F44" i="34"/>
  <c r="G44" i="34"/>
  <c r="H44" i="34"/>
  <c r="I44" i="34"/>
  <c r="J44" i="34"/>
  <c r="A45" i="34"/>
  <c r="B45" i="34"/>
  <c r="C45" i="34"/>
  <c r="D45" i="34"/>
  <c r="E45" i="34"/>
  <c r="F45" i="34"/>
  <c r="G45" i="34"/>
  <c r="H45" i="34"/>
  <c r="I45" i="34"/>
  <c r="J45" i="34"/>
  <c r="A46" i="34"/>
  <c r="B46" i="34"/>
  <c r="C46" i="34"/>
  <c r="D46" i="34"/>
  <c r="E46" i="34"/>
  <c r="F46" i="34"/>
  <c r="G46" i="34"/>
  <c r="H46" i="34"/>
  <c r="I46" i="34"/>
  <c r="J46" i="34"/>
  <c r="A47" i="34"/>
  <c r="B47" i="34"/>
  <c r="C47" i="34"/>
  <c r="D47" i="34"/>
  <c r="E47" i="34"/>
  <c r="F47" i="34"/>
  <c r="G47" i="34"/>
  <c r="H47" i="34"/>
  <c r="I47" i="34"/>
  <c r="J47" i="34"/>
  <c r="A48" i="34"/>
  <c r="B48" i="34"/>
  <c r="C48" i="34"/>
  <c r="D48" i="34"/>
  <c r="E48" i="34"/>
  <c r="F48" i="34"/>
  <c r="G48" i="34"/>
  <c r="H48" i="34"/>
  <c r="I48" i="34"/>
  <c r="J48" i="34"/>
  <c r="A49" i="34"/>
  <c r="B49" i="34"/>
  <c r="C49" i="34"/>
  <c r="D49" i="34"/>
  <c r="E49" i="34"/>
  <c r="F49" i="34"/>
  <c r="G49" i="34"/>
  <c r="H49" i="34"/>
  <c r="I49" i="34"/>
  <c r="J49" i="34"/>
  <c r="A50" i="34"/>
  <c r="B50" i="34"/>
  <c r="C50" i="34"/>
  <c r="D50" i="34"/>
  <c r="E50" i="34"/>
  <c r="F50" i="34"/>
  <c r="G50" i="34"/>
  <c r="H50" i="34"/>
  <c r="I50" i="34"/>
  <c r="J50" i="34"/>
  <c r="A3" i="34"/>
  <c r="B3" i="34"/>
  <c r="C3" i="34"/>
  <c r="D3" i="34"/>
  <c r="E3" i="34"/>
  <c r="F3" i="34"/>
  <c r="G3" i="34"/>
  <c r="H3" i="34"/>
  <c r="I3" i="34"/>
  <c r="J3" i="34"/>
  <c r="A4" i="34"/>
  <c r="B4" i="34"/>
  <c r="C4" i="34"/>
  <c r="D4" i="34"/>
  <c r="E4" i="34"/>
  <c r="F4" i="34"/>
  <c r="G4" i="34"/>
  <c r="H4" i="34"/>
  <c r="I4" i="34"/>
  <c r="J4" i="34"/>
  <c r="A5" i="34"/>
  <c r="B5" i="34"/>
  <c r="C5" i="34"/>
  <c r="D5" i="34"/>
  <c r="E5" i="34"/>
  <c r="F5" i="34"/>
  <c r="G5" i="34"/>
  <c r="H5" i="34"/>
  <c r="I5" i="34"/>
  <c r="J5" i="34"/>
  <c r="A6" i="34"/>
  <c r="B6" i="34"/>
  <c r="C6" i="34"/>
  <c r="D6" i="34"/>
  <c r="E6" i="34"/>
  <c r="F6" i="34"/>
  <c r="G6" i="34"/>
  <c r="H6" i="34"/>
  <c r="I6" i="34"/>
  <c r="J6" i="34"/>
  <c r="A7" i="34"/>
  <c r="B7" i="34"/>
  <c r="C7" i="34"/>
  <c r="D7" i="34"/>
  <c r="E7" i="34"/>
  <c r="F7" i="34"/>
  <c r="G7" i="34"/>
  <c r="H7" i="34"/>
  <c r="I7" i="34"/>
  <c r="J7" i="34"/>
  <c r="A8" i="34"/>
  <c r="B8" i="34"/>
  <c r="C8" i="34"/>
  <c r="D8" i="34"/>
  <c r="E8" i="34"/>
  <c r="F8" i="34"/>
  <c r="G8" i="34"/>
  <c r="H8" i="34"/>
  <c r="I8" i="34"/>
  <c r="J8" i="34"/>
  <c r="A9" i="34"/>
  <c r="B9" i="34"/>
  <c r="C9" i="34"/>
  <c r="D9" i="34"/>
  <c r="E9" i="34"/>
  <c r="F9" i="34"/>
  <c r="G9" i="34"/>
  <c r="H9" i="34"/>
  <c r="I9" i="34"/>
  <c r="J9" i="34"/>
  <c r="A10" i="34"/>
  <c r="B10" i="34"/>
  <c r="C10" i="34"/>
  <c r="D10" i="34"/>
  <c r="E10" i="34"/>
  <c r="F10" i="34"/>
  <c r="G10" i="34"/>
  <c r="H10" i="34"/>
  <c r="I10" i="34"/>
  <c r="J10" i="34"/>
  <c r="A11" i="34"/>
  <c r="B11" i="34"/>
  <c r="C11" i="34"/>
  <c r="D11" i="34"/>
  <c r="E11" i="34"/>
  <c r="F11" i="34"/>
  <c r="G11" i="34"/>
  <c r="H11" i="34"/>
  <c r="I11" i="34"/>
  <c r="J11" i="34"/>
  <c r="A12" i="34"/>
  <c r="B12" i="34"/>
  <c r="C12" i="34"/>
  <c r="D12" i="34"/>
  <c r="E12" i="34"/>
  <c r="F12" i="34"/>
  <c r="G12" i="34"/>
  <c r="H12" i="34"/>
  <c r="I12" i="34"/>
  <c r="J12" i="34"/>
  <c r="A13" i="34"/>
  <c r="B13" i="34"/>
  <c r="C13" i="34"/>
  <c r="D13" i="34"/>
  <c r="E13" i="34"/>
  <c r="F13" i="34"/>
  <c r="G13" i="34"/>
  <c r="H13" i="34"/>
  <c r="I13" i="34"/>
  <c r="J13" i="34"/>
  <c r="A14" i="34"/>
  <c r="B14" i="34"/>
  <c r="C14" i="34"/>
  <c r="D14" i="34"/>
  <c r="E14" i="34"/>
  <c r="F14" i="34"/>
  <c r="G14" i="34"/>
  <c r="H14" i="34"/>
  <c r="I14" i="34"/>
  <c r="J14" i="34"/>
  <c r="A15" i="34"/>
  <c r="B15" i="34"/>
  <c r="C15" i="34"/>
  <c r="D15" i="34"/>
  <c r="E15" i="34"/>
  <c r="F15" i="34"/>
  <c r="G15" i="34"/>
  <c r="H15" i="34"/>
  <c r="I15" i="34"/>
  <c r="J15" i="34"/>
  <c r="A16" i="34"/>
  <c r="B16" i="34"/>
  <c r="C16" i="34"/>
  <c r="D16" i="34"/>
  <c r="E16" i="34"/>
  <c r="F16" i="34"/>
  <c r="G16" i="34"/>
  <c r="H16" i="34"/>
  <c r="I16" i="34"/>
  <c r="J16" i="34"/>
  <c r="A17" i="34"/>
  <c r="B17" i="34"/>
  <c r="C17" i="34"/>
  <c r="D17" i="34"/>
  <c r="E17" i="34"/>
  <c r="F17" i="34"/>
  <c r="G17" i="34"/>
  <c r="H17" i="34"/>
  <c r="I17" i="34"/>
  <c r="J17" i="34"/>
  <c r="A18" i="34"/>
  <c r="B18" i="34"/>
  <c r="C18" i="34"/>
  <c r="D18" i="34"/>
  <c r="E18" i="34"/>
  <c r="F18" i="34"/>
  <c r="G18" i="34"/>
  <c r="H18" i="34"/>
  <c r="I18" i="34"/>
  <c r="J18" i="34"/>
  <c r="A19" i="34"/>
  <c r="B19" i="34"/>
  <c r="C19" i="34"/>
  <c r="D19" i="34"/>
  <c r="E19" i="34"/>
  <c r="F19" i="34"/>
  <c r="G19" i="34"/>
  <c r="H19" i="34"/>
  <c r="I19" i="34"/>
  <c r="J19" i="34"/>
  <c r="A20" i="34"/>
  <c r="B20" i="34"/>
  <c r="C20" i="34"/>
  <c r="D20" i="34"/>
  <c r="E20" i="34"/>
  <c r="F20" i="34"/>
  <c r="G20" i="34"/>
  <c r="H20" i="34"/>
  <c r="I20" i="34"/>
  <c r="J20" i="34"/>
  <c r="A21" i="34"/>
  <c r="B21" i="34"/>
  <c r="C21" i="34"/>
  <c r="D21" i="34"/>
  <c r="E21" i="34"/>
  <c r="F21" i="34"/>
  <c r="G21" i="34"/>
  <c r="H21" i="34"/>
  <c r="I21" i="34"/>
  <c r="J21" i="34"/>
  <c r="A22" i="34"/>
  <c r="B22" i="34"/>
  <c r="C22" i="34"/>
  <c r="D22" i="34"/>
  <c r="E22" i="34"/>
  <c r="F22" i="34"/>
  <c r="G22" i="34"/>
  <c r="H22" i="34"/>
  <c r="I22" i="34"/>
  <c r="J22" i="34"/>
  <c r="A23" i="34"/>
  <c r="B23" i="34"/>
  <c r="C23" i="34"/>
  <c r="D23" i="34"/>
  <c r="E23" i="34"/>
  <c r="F23" i="34"/>
  <c r="G23" i="34"/>
  <c r="H23" i="34"/>
  <c r="I23" i="34"/>
  <c r="J23" i="34"/>
  <c r="A24" i="34"/>
  <c r="B24" i="34"/>
  <c r="C24" i="34"/>
  <c r="D24" i="34"/>
  <c r="E24" i="34"/>
  <c r="F24" i="34"/>
  <c r="G24" i="34"/>
  <c r="H24" i="34"/>
  <c r="I24" i="34"/>
  <c r="J24" i="34"/>
  <c r="P158" i="24"/>
  <c r="N158" i="24"/>
  <c r="L158" i="24"/>
  <c r="J158" i="24"/>
  <c r="H158" i="24"/>
  <c r="K53" i="32"/>
  <c r="K49" i="32"/>
  <c r="H49" i="32"/>
  <c r="E57" i="32"/>
  <c r="E51" i="32"/>
  <c r="E50" i="32"/>
  <c r="B56" i="32"/>
  <c r="B35" i="32"/>
  <c r="C35" i="32"/>
  <c r="D35" i="32"/>
  <c r="E35" i="32"/>
  <c r="F35" i="32"/>
  <c r="H35" i="32"/>
  <c r="H50" i="32" s="1"/>
  <c r="I35" i="32"/>
  <c r="J35" i="32"/>
  <c r="K35" i="32"/>
  <c r="L35" i="32"/>
  <c r="M35" i="32"/>
  <c r="N35" i="32"/>
  <c r="O35" i="32"/>
  <c r="B36" i="32"/>
  <c r="C36" i="32"/>
  <c r="E36" i="32"/>
  <c r="F36" i="32"/>
  <c r="H36" i="32"/>
  <c r="I36" i="32"/>
  <c r="J36" i="32"/>
  <c r="K36" i="32"/>
  <c r="L36" i="32"/>
  <c r="M36" i="32"/>
  <c r="N36" i="32"/>
  <c r="N51" i="32" s="1"/>
  <c r="O36" i="32"/>
  <c r="P36" i="32"/>
  <c r="B37" i="32"/>
  <c r="C37" i="32"/>
  <c r="E37" i="32"/>
  <c r="F37" i="32"/>
  <c r="H37" i="32"/>
  <c r="I37" i="32"/>
  <c r="J37" i="32"/>
  <c r="K37" i="32"/>
  <c r="L37" i="32"/>
  <c r="M37" i="32"/>
  <c r="N37" i="32"/>
  <c r="N52" i="32" s="1"/>
  <c r="O37" i="32"/>
  <c r="P37" i="32"/>
  <c r="B38" i="32"/>
  <c r="C38" i="32"/>
  <c r="D38" i="32"/>
  <c r="E38" i="32"/>
  <c r="F38" i="32"/>
  <c r="G38" i="32"/>
  <c r="H38" i="32"/>
  <c r="I38" i="32"/>
  <c r="K38" i="32"/>
  <c r="L38" i="32"/>
  <c r="M38" i="32"/>
  <c r="N38" i="32"/>
  <c r="N53" i="32" s="1"/>
  <c r="O38" i="32"/>
  <c r="P38" i="32"/>
  <c r="B39" i="32"/>
  <c r="C39" i="32"/>
  <c r="D39" i="32"/>
  <c r="E39" i="32"/>
  <c r="F39" i="32"/>
  <c r="H39" i="32"/>
  <c r="I39" i="32"/>
  <c r="K39" i="32"/>
  <c r="K54" i="32" s="1"/>
  <c r="L39" i="32"/>
  <c r="N39" i="32"/>
  <c r="O39" i="32"/>
  <c r="P39" i="32"/>
  <c r="B40" i="32"/>
  <c r="C40" i="32"/>
  <c r="D40" i="32"/>
  <c r="E40" i="32"/>
  <c r="G40" i="32" s="1"/>
  <c r="F40" i="32"/>
  <c r="H40" i="32"/>
  <c r="H55" i="32" s="1"/>
  <c r="I40" i="32"/>
  <c r="J40" i="32"/>
  <c r="K40" i="32"/>
  <c r="K55" i="32" s="1"/>
  <c r="L40" i="32"/>
  <c r="M40" i="32"/>
  <c r="N40" i="32"/>
  <c r="O40" i="32"/>
  <c r="P40" i="32"/>
  <c r="B41" i="32"/>
  <c r="C41" i="32"/>
  <c r="D41" i="32"/>
  <c r="E41" i="32"/>
  <c r="F41" i="32"/>
  <c r="G41" i="32"/>
  <c r="H41" i="32"/>
  <c r="H56" i="32" s="1"/>
  <c r="I41" i="32"/>
  <c r="J41" i="32"/>
  <c r="K41" i="32"/>
  <c r="L41" i="32"/>
  <c r="N41" i="32"/>
  <c r="O41" i="32"/>
  <c r="B42" i="32"/>
  <c r="B57" i="32" s="1"/>
  <c r="C42" i="32"/>
  <c r="D42" i="32"/>
  <c r="E42" i="32"/>
  <c r="F42" i="32"/>
  <c r="G42" i="32"/>
  <c r="H42" i="32"/>
  <c r="I42" i="32"/>
  <c r="K42" i="32"/>
  <c r="M42" i="32" s="1"/>
  <c r="L42" i="32"/>
  <c r="N42" i="32"/>
  <c r="O42" i="32"/>
  <c r="B43" i="32"/>
  <c r="C43" i="32"/>
  <c r="D43" i="32"/>
  <c r="E43" i="32"/>
  <c r="F43" i="32"/>
  <c r="G43" i="32"/>
  <c r="H43" i="32"/>
  <c r="I43" i="32"/>
  <c r="K43" i="32"/>
  <c r="K58" i="32" s="1"/>
  <c r="L43" i="32"/>
  <c r="M43" i="32"/>
  <c r="N43" i="32"/>
  <c r="O43" i="32"/>
  <c r="N34" i="32"/>
  <c r="K34" i="32"/>
  <c r="O34" i="32"/>
  <c r="L34" i="32"/>
  <c r="H34" i="32"/>
  <c r="I34" i="32"/>
  <c r="F34" i="32"/>
  <c r="E34" i="32"/>
  <c r="G34" i="32" s="1"/>
  <c r="C34" i="32"/>
  <c r="B34" i="32"/>
  <c r="D34" i="32" s="1"/>
  <c r="N20" i="32"/>
  <c r="O20" i="32"/>
  <c r="P20" i="32" s="1"/>
  <c r="N21" i="32"/>
  <c r="O21" i="32"/>
  <c r="P21" i="32"/>
  <c r="N22" i="32"/>
  <c r="O22" i="32"/>
  <c r="O52" i="32" s="1"/>
  <c r="N23" i="32"/>
  <c r="O23" i="32"/>
  <c r="P23" i="32"/>
  <c r="N24" i="32"/>
  <c r="O24" i="32"/>
  <c r="P24" i="32" s="1"/>
  <c r="N25" i="32"/>
  <c r="O25" i="32"/>
  <c r="O55" i="32" s="1"/>
  <c r="N26" i="32"/>
  <c r="O26" i="32"/>
  <c r="O56" i="32" s="1"/>
  <c r="N27" i="32"/>
  <c r="O27" i="32"/>
  <c r="O57" i="32" s="1"/>
  <c r="P27" i="32"/>
  <c r="N28" i="32"/>
  <c r="N58" i="32" s="1"/>
  <c r="O28" i="32"/>
  <c r="P28" i="32"/>
  <c r="O19" i="32"/>
  <c r="N19" i="32"/>
  <c r="N49" i="32" s="1"/>
  <c r="K20" i="32"/>
  <c r="L20" i="32"/>
  <c r="L50" i="32" s="1"/>
  <c r="K21" i="32"/>
  <c r="L21" i="32"/>
  <c r="L51" i="32" s="1"/>
  <c r="K22" i="32"/>
  <c r="K52" i="32" s="1"/>
  <c r="L22" i="32"/>
  <c r="K23" i="32"/>
  <c r="L23" i="32"/>
  <c r="M23" i="32" s="1"/>
  <c r="K24" i="32"/>
  <c r="L24" i="32"/>
  <c r="M24" i="32"/>
  <c r="K25" i="32"/>
  <c r="L25" i="32"/>
  <c r="K26" i="32"/>
  <c r="K56" i="32" s="1"/>
  <c r="L26" i="32"/>
  <c r="L56" i="32" s="1"/>
  <c r="M26" i="32"/>
  <c r="K27" i="32"/>
  <c r="L27" i="32"/>
  <c r="L57" i="32" s="1"/>
  <c r="M27" i="32"/>
  <c r="K28" i="32"/>
  <c r="L28" i="32"/>
  <c r="M28" i="32" s="1"/>
  <c r="L19" i="32"/>
  <c r="L49" i="32" s="1"/>
  <c r="K19" i="32"/>
  <c r="M19" i="32" s="1"/>
  <c r="H20" i="32"/>
  <c r="I20" i="32"/>
  <c r="H21" i="32"/>
  <c r="H51" i="32" s="1"/>
  <c r="I21" i="32"/>
  <c r="J21" i="32" s="1"/>
  <c r="H22" i="32"/>
  <c r="H52" i="32" s="1"/>
  <c r="I22" i="32"/>
  <c r="J22" i="32"/>
  <c r="H23" i="32"/>
  <c r="I23" i="32"/>
  <c r="H24" i="32"/>
  <c r="I24" i="32"/>
  <c r="I54" i="32" s="1"/>
  <c r="J24" i="32"/>
  <c r="H25" i="32"/>
  <c r="I25" i="32"/>
  <c r="I55" i="32" s="1"/>
  <c r="H26" i="32"/>
  <c r="I26" i="32"/>
  <c r="I56" i="32" s="1"/>
  <c r="J26" i="32"/>
  <c r="H27" i="32"/>
  <c r="I27" i="32"/>
  <c r="H28" i="32"/>
  <c r="H58" i="32" s="1"/>
  <c r="I28" i="32"/>
  <c r="J28" i="32"/>
  <c r="I19" i="32"/>
  <c r="J19" i="32" s="1"/>
  <c r="H19" i="32"/>
  <c r="F20" i="32"/>
  <c r="F21" i="32"/>
  <c r="F22" i="32"/>
  <c r="F52" i="32" s="1"/>
  <c r="F23" i="32"/>
  <c r="F53" i="32" s="1"/>
  <c r="F24" i="32"/>
  <c r="F25" i="32"/>
  <c r="F55" i="32" s="1"/>
  <c r="F26" i="32"/>
  <c r="F27" i="32"/>
  <c r="F28" i="32"/>
  <c r="F58" i="32" s="1"/>
  <c r="F19" i="32"/>
  <c r="E20" i="32"/>
  <c r="G20" i="32" s="1"/>
  <c r="E21" i="32"/>
  <c r="G21" i="32" s="1"/>
  <c r="E22" i="32"/>
  <c r="E23" i="32"/>
  <c r="E24" i="32"/>
  <c r="E25" i="32"/>
  <c r="E26" i="32"/>
  <c r="E27" i="32"/>
  <c r="G27" i="32" s="1"/>
  <c r="E28" i="32"/>
  <c r="G28" i="32" s="1"/>
  <c r="E19" i="32"/>
  <c r="C20" i="32"/>
  <c r="C50" i="32" s="1"/>
  <c r="C21" i="32"/>
  <c r="D21" i="32" s="1"/>
  <c r="C22" i="32"/>
  <c r="C52" i="32" s="1"/>
  <c r="C23" i="32"/>
  <c r="C53" i="32" s="1"/>
  <c r="C24" i="32"/>
  <c r="C25" i="32"/>
  <c r="C26" i="32"/>
  <c r="C27" i="32"/>
  <c r="C57" i="32" s="1"/>
  <c r="C28" i="32"/>
  <c r="C58" i="32" s="1"/>
  <c r="C19" i="32"/>
  <c r="B20" i="32"/>
  <c r="B21" i="32"/>
  <c r="B22" i="32"/>
  <c r="B23" i="32"/>
  <c r="B24" i="32"/>
  <c r="D24" i="32" s="1"/>
  <c r="B25" i="32"/>
  <c r="D25" i="32" s="1"/>
  <c r="B26" i="32"/>
  <c r="D26" i="32" s="1"/>
  <c r="B27" i="32"/>
  <c r="B28" i="32"/>
  <c r="B19" i="32"/>
  <c r="B49" i="32" s="1"/>
  <c r="N5" i="32"/>
  <c r="N6" i="32"/>
  <c r="N7" i="32"/>
  <c r="N8" i="32"/>
  <c r="N9" i="32"/>
  <c r="N10" i="32"/>
  <c r="N11" i="32"/>
  <c r="N12" i="32"/>
  <c r="N13" i="32"/>
  <c r="N4" i="32"/>
  <c r="K5" i="32"/>
  <c r="K6" i="32"/>
  <c r="K7" i="32"/>
  <c r="K8" i="32"/>
  <c r="K9" i="32"/>
  <c r="K10" i="32"/>
  <c r="K11" i="32"/>
  <c r="K12" i="32"/>
  <c r="K13" i="32"/>
  <c r="K4" i="32"/>
  <c r="M4" i="32" s="1"/>
  <c r="H5" i="32"/>
  <c r="H6" i="32"/>
  <c r="H7" i="32"/>
  <c r="H8" i="32"/>
  <c r="H9" i="32"/>
  <c r="H10" i="32"/>
  <c r="H11" i="32"/>
  <c r="H12" i="32"/>
  <c r="H13" i="32"/>
  <c r="H4" i="32"/>
  <c r="J4" i="32" s="1"/>
  <c r="E5" i="32"/>
  <c r="E6" i="32"/>
  <c r="E7" i="32"/>
  <c r="E8" i="32"/>
  <c r="E9" i="32"/>
  <c r="E10" i="32"/>
  <c r="E11" i="32"/>
  <c r="E12" i="32"/>
  <c r="E13" i="32"/>
  <c r="E4" i="32"/>
  <c r="B13" i="32"/>
  <c r="B12" i="32"/>
  <c r="B11" i="32"/>
  <c r="B10" i="32"/>
  <c r="B9" i="32"/>
  <c r="B8" i="32"/>
  <c r="B7" i="32"/>
  <c r="B6" i="32"/>
  <c r="B5" i="32"/>
  <c r="B4" i="32"/>
  <c r="P4" i="32"/>
  <c r="G4" i="32"/>
  <c r="J129" i="34" l="1"/>
  <c r="J259" i="34"/>
  <c r="F259" i="34"/>
  <c r="G25" i="34"/>
  <c r="I129" i="34"/>
  <c r="H25" i="34"/>
  <c r="F25" i="34"/>
  <c r="H51" i="34"/>
  <c r="F181" i="34"/>
  <c r="F207" i="34"/>
  <c r="J207" i="34"/>
  <c r="H207" i="34"/>
  <c r="I51" i="34"/>
  <c r="G51" i="34"/>
  <c r="I77" i="34"/>
  <c r="G181" i="34"/>
  <c r="J51" i="34"/>
  <c r="F51" i="34"/>
  <c r="H77" i="34"/>
  <c r="J77" i="34"/>
  <c r="H233" i="34"/>
  <c r="F233" i="34"/>
  <c r="J233" i="34"/>
  <c r="G129" i="34"/>
  <c r="G207" i="34"/>
  <c r="G233" i="34"/>
  <c r="I233" i="34"/>
  <c r="H129" i="34"/>
  <c r="F129" i="34"/>
  <c r="H155" i="34"/>
  <c r="I155" i="34"/>
  <c r="G155" i="34"/>
  <c r="I181" i="34"/>
  <c r="J25" i="34"/>
  <c r="J155" i="34"/>
  <c r="F155" i="34"/>
  <c r="H181" i="34"/>
  <c r="J181" i="34"/>
  <c r="I25" i="34"/>
  <c r="I207" i="34"/>
  <c r="F77" i="34"/>
  <c r="F103" i="34"/>
  <c r="J103" i="34"/>
  <c r="H103" i="34"/>
  <c r="H259" i="34"/>
  <c r="G77" i="34"/>
  <c r="I103" i="34"/>
  <c r="G103" i="34"/>
  <c r="I259" i="34"/>
  <c r="G259" i="34"/>
  <c r="D27" i="32"/>
  <c r="L58" i="32"/>
  <c r="F57" i="32"/>
  <c r="C56" i="32"/>
  <c r="L53" i="32"/>
  <c r="P26" i="32"/>
  <c r="M21" i="32"/>
  <c r="L54" i="32"/>
  <c r="J23" i="32"/>
  <c r="F49" i="32"/>
  <c r="G49" i="32" s="1"/>
  <c r="G19" i="32"/>
  <c r="G24" i="32"/>
  <c r="F54" i="32"/>
  <c r="G22" i="32"/>
  <c r="O51" i="32"/>
  <c r="P51" i="32" s="1"/>
  <c r="P22" i="32"/>
  <c r="P29" i="32" s="1"/>
  <c r="M49" i="32"/>
  <c r="P52" i="32"/>
  <c r="O58" i="32"/>
  <c r="F56" i="32"/>
  <c r="O53" i="32"/>
  <c r="L52" i="32"/>
  <c r="M52" i="32" s="1"/>
  <c r="C55" i="32"/>
  <c r="P53" i="32"/>
  <c r="G36" i="32"/>
  <c r="F51" i="32"/>
  <c r="G51" i="32" s="1"/>
  <c r="F50" i="32"/>
  <c r="G50" i="32" s="1"/>
  <c r="D36" i="32"/>
  <c r="O54" i="32"/>
  <c r="M54" i="32"/>
  <c r="G37" i="32"/>
  <c r="P35" i="32"/>
  <c r="I52" i="32"/>
  <c r="J52" i="32" s="1"/>
  <c r="J34" i="32"/>
  <c r="J44" i="32" s="1"/>
  <c r="D37" i="32"/>
  <c r="O49" i="32"/>
  <c r="P49" i="32" s="1"/>
  <c r="I57" i="32"/>
  <c r="J57" i="32" s="1"/>
  <c r="M34" i="32"/>
  <c r="M44" i="32" s="1"/>
  <c r="P34" i="32"/>
  <c r="P44" i="32" s="1"/>
  <c r="P42" i="32"/>
  <c r="G35" i="32"/>
  <c r="J42" i="32"/>
  <c r="J43" i="32"/>
  <c r="I53" i="32"/>
  <c r="J53" i="32" s="1"/>
  <c r="D53" i="32" s="1"/>
  <c r="J38" i="32"/>
  <c r="M53" i="32"/>
  <c r="C49" i="32"/>
  <c r="P41" i="32"/>
  <c r="J39" i="32"/>
  <c r="I58" i="32"/>
  <c r="L55" i="32"/>
  <c r="M55" i="32" s="1"/>
  <c r="M41" i="32"/>
  <c r="G39" i="32"/>
  <c r="G44" i="32" s="1"/>
  <c r="I51" i="32"/>
  <c r="J51" i="32" s="1"/>
  <c r="C54" i="32"/>
  <c r="I50" i="32"/>
  <c r="P43" i="32"/>
  <c r="B53" i="32"/>
  <c r="E56" i="32"/>
  <c r="E55" i="32"/>
  <c r="G55" i="32" s="1"/>
  <c r="K51" i="32"/>
  <c r="N54" i="32"/>
  <c r="P54" i="32" s="1"/>
  <c r="M39" i="32"/>
  <c r="B58" i="32"/>
  <c r="N50" i="32"/>
  <c r="H54" i="32"/>
  <c r="B52" i="32"/>
  <c r="B51" i="32"/>
  <c r="K57" i="32"/>
  <c r="M57" i="32" s="1"/>
  <c r="B50" i="32"/>
  <c r="E53" i="32"/>
  <c r="G53" i="32" s="1"/>
  <c r="D58" i="32"/>
  <c r="M51" i="32"/>
  <c r="E49" i="32"/>
  <c r="P25" i="32"/>
  <c r="E58" i="32"/>
  <c r="M20" i="32"/>
  <c r="D20" i="32"/>
  <c r="J27" i="32"/>
  <c r="I49" i="32"/>
  <c r="M25" i="32"/>
  <c r="D22" i="32"/>
  <c r="D23" i="32"/>
  <c r="G23" i="32"/>
  <c r="J20" i="32"/>
  <c r="N55" i="32"/>
  <c r="P55" i="32" s="1"/>
  <c r="J25" i="32"/>
  <c r="E54" i="32"/>
  <c r="K50" i="32"/>
  <c r="M50" i="32" s="1"/>
  <c r="N56" i="32"/>
  <c r="P56" i="32" s="1"/>
  <c r="C51" i="32"/>
  <c r="H53" i="32"/>
  <c r="N57" i="32"/>
  <c r="P57" i="32" s="1"/>
  <c r="D28" i="32"/>
  <c r="M22" i="32"/>
  <c r="O50" i="32"/>
  <c r="P50" i="32" s="1"/>
  <c r="D19" i="32"/>
  <c r="B55" i="32"/>
  <c r="H57" i="32"/>
  <c r="G26" i="32"/>
  <c r="G25" i="32"/>
  <c r="B54" i="32"/>
  <c r="E52" i="32"/>
  <c r="G52" i="32" s="1"/>
  <c r="P19" i="32"/>
  <c r="G57" i="32"/>
  <c r="P12" i="32"/>
  <c r="M6" i="32"/>
  <c r="J12" i="32"/>
  <c r="G8" i="32"/>
  <c r="P11" i="32"/>
  <c r="G12" i="32"/>
  <c r="P13" i="32"/>
  <c r="P9" i="32"/>
  <c r="M13" i="32"/>
  <c r="M11" i="32"/>
  <c r="M9" i="32"/>
  <c r="M7" i="32"/>
  <c r="M5" i="32"/>
  <c r="P8" i="32"/>
  <c r="M10" i="32"/>
  <c r="J10" i="32"/>
  <c r="G6" i="32"/>
  <c r="P7" i="32"/>
  <c r="P10" i="32"/>
  <c r="M8" i="32"/>
  <c r="J6" i="32"/>
  <c r="P5" i="32"/>
  <c r="J13" i="32"/>
  <c r="J11" i="32"/>
  <c r="J9" i="32"/>
  <c r="J7" i="32"/>
  <c r="J5" i="32"/>
  <c r="P6" i="32"/>
  <c r="M12" i="32"/>
  <c r="J8" i="32"/>
  <c r="G10" i="32"/>
  <c r="G13" i="32"/>
  <c r="G11" i="32"/>
  <c r="G9" i="32"/>
  <c r="G7" i="32"/>
  <c r="G5" i="32"/>
  <c r="D4" i="32"/>
  <c r="D14" i="32" s="1"/>
  <c r="M56" i="32"/>
  <c r="J56" i="32"/>
  <c r="D57" i="32"/>
  <c r="J54" i="32"/>
  <c r="D54" i="32" s="1"/>
  <c r="D56" i="32"/>
  <c r="J55" i="32"/>
  <c r="G54" i="32" l="1"/>
  <c r="G29" i="32"/>
  <c r="M59" i="32"/>
  <c r="D52" i="32"/>
  <c r="G56" i="32"/>
  <c r="G59" i="32" s="1"/>
  <c r="M29" i="32"/>
  <c r="J29" i="32"/>
  <c r="D51" i="32"/>
  <c r="D29" i="32"/>
  <c r="P59" i="32"/>
  <c r="D55" i="32"/>
  <c r="M14" i="32"/>
  <c r="G14" i="32"/>
  <c r="P14" i="32"/>
  <c r="J14" i="32"/>
  <c r="J49" i="32"/>
  <c r="J59" i="32" s="1"/>
  <c r="J50" i="32"/>
  <c r="D50" i="32" s="1"/>
  <c r="D49" i="32"/>
  <c r="D59" i="32" l="1"/>
  <c r="D44" i="32"/>
</calcChain>
</file>

<file path=xl/sharedStrings.xml><?xml version="1.0" encoding="utf-8"?>
<sst xmlns="http://schemas.openxmlformats.org/spreadsheetml/2006/main" count="1810" uniqueCount="377">
  <si>
    <t>班名</t>
    <rPh sb="0" eb="2">
      <t>ハンメイ</t>
    </rPh>
    <phoneticPr fontId="18"/>
  </si>
  <si>
    <t>シーン</t>
    <phoneticPr fontId="18"/>
  </si>
  <si>
    <t>No.</t>
    <phoneticPr fontId="18"/>
  </si>
  <si>
    <t>共通</t>
    <rPh sb="0" eb="2">
      <t>キョウツウ</t>
    </rPh>
    <phoneticPr fontId="18"/>
  </si>
  <si>
    <t>共／個</t>
    <rPh sb="0" eb="1">
      <t>トモ</t>
    </rPh>
    <rPh sb="2" eb="3">
      <t>コ</t>
    </rPh>
    <phoneticPr fontId="18"/>
  </si>
  <si>
    <t>問題</t>
    <rPh sb="0" eb="2">
      <t>モンダイ</t>
    </rPh>
    <phoneticPr fontId="18"/>
  </si>
  <si>
    <t>ｺﾐｭﾆｹｰｼｮﾝ</t>
    <phoneticPr fontId="18"/>
  </si>
  <si>
    <t>評価基準（ｺﾐｭﾆｹｰｼｮﾝ）</t>
    <phoneticPr fontId="18"/>
  </si>
  <si>
    <t>情報収集</t>
    <phoneticPr fontId="18"/>
  </si>
  <si>
    <t>評価基準（情報収集）</t>
    <rPh sb="5" eb="9">
      <t>ジョウホウシュウシュウ</t>
    </rPh>
    <phoneticPr fontId="18"/>
  </si>
  <si>
    <t>情報分析</t>
    <phoneticPr fontId="18"/>
  </si>
  <si>
    <t>評価基準（情報分析）</t>
    <rPh sb="5" eb="9">
      <t>ジョウホウブンセキ</t>
    </rPh>
    <phoneticPr fontId="18"/>
  </si>
  <si>
    <t>想像・先読み</t>
    <phoneticPr fontId="18"/>
  </si>
  <si>
    <t>評価基準（想像・先読み）</t>
    <phoneticPr fontId="18"/>
  </si>
  <si>
    <t>計画</t>
    <phoneticPr fontId="18"/>
  </si>
  <si>
    <t>評価基準（計画）</t>
    <rPh sb="5" eb="7">
      <t>ケイカク</t>
    </rPh>
    <phoneticPr fontId="18"/>
  </si>
  <si>
    <t>00全班共通</t>
    <rPh sb="2" eb="3">
      <t>ゼン</t>
    </rPh>
    <rPh sb="3" eb="4">
      <t>ハン</t>
    </rPh>
    <rPh sb="4" eb="6">
      <t>キョウツウ</t>
    </rPh>
    <phoneticPr fontId="18"/>
  </si>
  <si>
    <t>シーン1</t>
    <phoneticPr fontId="18"/>
  </si>
  <si>
    <t>共通01</t>
    <rPh sb="0" eb="2">
      <t>キョウツウ</t>
    </rPh>
    <phoneticPr fontId="18"/>
  </si>
  <si>
    <t>発災当日18時すぎ
在宅勤務の残業中に激しい揺れに襲われましたが、ようやく揺れが収まりました。輻輳中でネットはつながりにくい状況です。
あなたならどのような行動をとりますか？
何を使用し、何を行うか具体的に記述して下さい。
※評価対象コンピテンシー：情報収集力、想像・先読み力、計画力</t>
    <rPh sb="20" eb="21">
      <t>ハゲ</t>
    </rPh>
    <rPh sb="23" eb="24">
      <t>ユ</t>
    </rPh>
    <rPh sb="26" eb="27">
      <t>オソ</t>
    </rPh>
    <rPh sb="38" eb="39">
      <t>ユ</t>
    </rPh>
    <rPh sb="48" eb="51">
      <t>フクソウチュウ</t>
    </rPh>
    <rPh sb="128" eb="132">
      <t>ジョウホウシュウシュウ</t>
    </rPh>
    <phoneticPr fontId="18"/>
  </si>
  <si>
    <t>●</t>
    <phoneticPr fontId="18"/>
  </si>
  <si>
    <t>1点：災害情報を自ら情報収集しようとしている
2点：災害情報に加えて、社内関係者の安否、被災状況、外にいる場合は家族の安否など、自ら情報収集しようとしている
3点：通信状況が悪いことを前提に、事前にチャットを送り送信されるのを待つなど、創意工夫をしながら情報収集をしようとしている　</t>
    <rPh sb="26" eb="30">
      <t>サイガイジョウホウ</t>
    </rPh>
    <rPh sb="31" eb="32">
      <t>クワ</t>
    </rPh>
    <rPh sb="49" eb="50">
      <t>ソト</t>
    </rPh>
    <rPh sb="53" eb="55">
      <t>バアイ</t>
    </rPh>
    <rPh sb="56" eb="58">
      <t>カゾク</t>
    </rPh>
    <rPh sb="59" eb="61">
      <t>アンピ</t>
    </rPh>
    <rPh sb="82" eb="86">
      <t>ツウシンジョウキョウ</t>
    </rPh>
    <rPh sb="87" eb="88">
      <t>ワル</t>
    </rPh>
    <rPh sb="92" eb="94">
      <t>ゼンテイ</t>
    </rPh>
    <rPh sb="96" eb="98">
      <t>ジゼン</t>
    </rPh>
    <rPh sb="104" eb="105">
      <t>オク</t>
    </rPh>
    <rPh sb="106" eb="108">
      <t>ソウシン</t>
    </rPh>
    <rPh sb="113" eb="114">
      <t>マ</t>
    </rPh>
    <rPh sb="118" eb="122">
      <t>ソウイクフウ</t>
    </rPh>
    <rPh sb="127" eb="131">
      <t>ジョウホウシュウシュウ</t>
    </rPh>
    <phoneticPr fontId="18"/>
  </si>
  <si>
    <t>1点：余震や津波など、これから身の回りに起こることを想像できている
2点：自身に加えて、家族や、班員、サービスにどのような影響が出るのかを想像できている
3点：自身に加えて、家族や、班員、サービス影響について想像した内容を情報収集や計画に活用している</t>
    <rPh sb="1" eb="2">
      <t>テン</t>
    </rPh>
    <rPh sb="3" eb="5">
      <t>ヨシン</t>
    </rPh>
    <rPh sb="6" eb="8">
      <t>ツナミ</t>
    </rPh>
    <rPh sb="15" eb="16">
      <t>ミ</t>
    </rPh>
    <rPh sb="17" eb="18">
      <t>マワ</t>
    </rPh>
    <rPh sb="20" eb="21">
      <t>オ</t>
    </rPh>
    <rPh sb="26" eb="28">
      <t>ソウゾウ</t>
    </rPh>
    <rPh sb="35" eb="36">
      <t>テン</t>
    </rPh>
    <rPh sb="37" eb="39">
      <t>ジシン</t>
    </rPh>
    <rPh sb="40" eb="41">
      <t>クワ</t>
    </rPh>
    <rPh sb="44" eb="46">
      <t>カゾク</t>
    </rPh>
    <rPh sb="48" eb="50">
      <t>ハンイン</t>
    </rPh>
    <rPh sb="61" eb="63">
      <t>エイキョウ</t>
    </rPh>
    <rPh sb="64" eb="65">
      <t>デ</t>
    </rPh>
    <rPh sb="69" eb="71">
      <t>ソウゾウ</t>
    </rPh>
    <rPh sb="78" eb="79">
      <t>テン</t>
    </rPh>
    <rPh sb="98" eb="100">
      <t>エイキョウ</t>
    </rPh>
    <rPh sb="104" eb="106">
      <t>ソウゾウ</t>
    </rPh>
    <rPh sb="108" eb="110">
      <t>ナイヨウ</t>
    </rPh>
    <rPh sb="111" eb="115">
      <t>ジョウホウシュウシュウ</t>
    </rPh>
    <rPh sb="116" eb="118">
      <t>ケイカク</t>
    </rPh>
    <rPh sb="119" eb="121">
      <t>カツヨウ</t>
    </rPh>
    <phoneticPr fontId="18"/>
  </si>
  <si>
    <t>1点：自身の行動に対する計画を立てている
2点：自身に加えて、家族や、班員、サービスに対する計画を立てている
3点：想像力や収集情報をもとに、自身に加えて、家族や、班員、サービスに対する計画を立てている</t>
    <rPh sb="1" eb="2">
      <t>テン</t>
    </rPh>
    <rPh sb="3" eb="5">
      <t>ジシン</t>
    </rPh>
    <rPh sb="6" eb="8">
      <t>コウドウ</t>
    </rPh>
    <rPh sb="9" eb="10">
      <t>タイ</t>
    </rPh>
    <rPh sb="12" eb="14">
      <t>ケイカク</t>
    </rPh>
    <rPh sb="15" eb="16">
      <t>タ</t>
    </rPh>
    <rPh sb="22" eb="23">
      <t>テン</t>
    </rPh>
    <rPh sb="24" eb="26">
      <t>ジシン</t>
    </rPh>
    <rPh sb="27" eb="28">
      <t>クワ</t>
    </rPh>
    <rPh sb="43" eb="44">
      <t>タイ</t>
    </rPh>
    <rPh sb="46" eb="48">
      <t>ケイカク</t>
    </rPh>
    <rPh sb="49" eb="50">
      <t>タ</t>
    </rPh>
    <rPh sb="56" eb="57">
      <t>テン</t>
    </rPh>
    <rPh sb="58" eb="61">
      <t>ソウゾウリョク</t>
    </rPh>
    <rPh sb="62" eb="64">
      <t>シュウシュウ</t>
    </rPh>
    <rPh sb="64" eb="66">
      <t>ジョウホウ</t>
    </rPh>
    <rPh sb="93" eb="95">
      <t>ケイカク</t>
    </rPh>
    <rPh sb="96" eb="97">
      <t>タ</t>
    </rPh>
    <phoneticPr fontId="18"/>
  </si>
  <si>
    <t>共通02</t>
    <rPh sb="0" eb="2">
      <t>キョウツウ</t>
    </rPh>
    <phoneticPr fontId="18"/>
  </si>
  <si>
    <t>発災当日18時すぎ
Teamsチャットでの他班のやり取りを見ていると、首都圏内のドコモビジネスのオフィスや各社員の自宅もネットがつながりにくい状況のようです。小規模ながら余震も数回発生しています。
あなたならどのような行動をとりますか？
何を使用し、何を行うか具体的に記述して下さい。
※評価対象コンピテンシー：情報収集力</t>
    <phoneticPr fontId="18"/>
  </si>
  <si>
    <t>1点：災害情報を自ら情報収集しようとしている
2点：広域での被害発生を想定し、社内関係者の安否やサービス影響に関する情報を自ら収集しようとしている
3点：広域での被害発生を想定し、今後の初動対応上重要となる情報を想定した上で、先手先手で社内関係者の安否やサービス影響に関する情報を自ら収集しようとしている</t>
    <rPh sb="1" eb="2">
      <t>テン</t>
    </rPh>
    <rPh sb="24" eb="25">
      <t>テン</t>
    </rPh>
    <rPh sb="26" eb="28">
      <t>コウイキ</t>
    </rPh>
    <rPh sb="32" eb="34">
      <t>ハッセイ</t>
    </rPh>
    <rPh sb="35" eb="37">
      <t>ソウテイ</t>
    </rPh>
    <rPh sb="52" eb="54">
      <t>エイキョウ</t>
    </rPh>
    <rPh sb="55" eb="56">
      <t>カン</t>
    </rPh>
    <rPh sb="58" eb="60">
      <t>ジョウホウ</t>
    </rPh>
    <rPh sb="61" eb="62">
      <t>ミズカ</t>
    </rPh>
    <rPh sb="63" eb="65">
      <t>シュウシュウ</t>
    </rPh>
    <rPh sb="75" eb="76">
      <t>テン</t>
    </rPh>
    <rPh sb="90" eb="92">
      <t>コンゴ</t>
    </rPh>
    <rPh sb="93" eb="97">
      <t>ショドウタイオウ</t>
    </rPh>
    <rPh sb="97" eb="98">
      <t>ジョウ</t>
    </rPh>
    <rPh sb="98" eb="100">
      <t>ジュウヨウ</t>
    </rPh>
    <rPh sb="103" eb="105">
      <t>ジョウホウ</t>
    </rPh>
    <rPh sb="106" eb="108">
      <t>ソウテイ</t>
    </rPh>
    <rPh sb="110" eb="111">
      <t>ウエ</t>
    </rPh>
    <rPh sb="113" eb="117">
      <t>センテセンテ</t>
    </rPh>
    <phoneticPr fontId="18"/>
  </si>
  <si>
    <t>共通03</t>
    <rPh sb="0" eb="2">
      <t>キョウツウ</t>
    </rPh>
    <phoneticPr fontId="18"/>
  </si>
  <si>
    <t>発災当日18時半
自身および家族の安全は確保されました。その中で以下の情報が同時に入ってきた場合に初動対応において、最優先で分析確認する情報はどれかを選択して下さい。また、その理由を「情報の確からしさ」と「リスクの大きさ（影響範囲×緊急性）」の観点で説明して下さい。
A：自治体公式SNS「○○市で震度6強を観測。被害状況を確認中」
B：SNS投稿「○○駅が全壊。多数のけが人がいる」
C：班員からのTeamsチャット「サービス班から●●サービスの通信断を検知の模様」
D：班員からのTeamsチャット「自宅周辺で停電している」
※評価対象コンピテンシー：情報分析力</t>
    <rPh sb="7" eb="8">
      <t>ハン</t>
    </rPh>
    <phoneticPr fontId="18"/>
  </si>
  <si>
    <t>1点：C以外を選択、もしくはCを選択し、信頼性、影響範囲、緊急性のうちの1つが説明されている
2点：Cを選択し、信頼性、影響範囲、緊急性のうちの2つが適切に説明されている
3点：Cを選択し、信頼性、影響範囲、緊急性の全てが適切に説明されている</t>
    <rPh sb="1" eb="2">
      <t>テン</t>
    </rPh>
    <rPh sb="4" eb="6">
      <t>イガイ</t>
    </rPh>
    <rPh sb="7" eb="9">
      <t>センタク</t>
    </rPh>
    <rPh sb="16" eb="18">
      <t>センタク</t>
    </rPh>
    <rPh sb="48" eb="49">
      <t>テン</t>
    </rPh>
    <rPh sb="52" eb="54">
      <t>センタク</t>
    </rPh>
    <rPh sb="75" eb="77">
      <t>テキセツ</t>
    </rPh>
    <rPh sb="87" eb="88">
      <t>テン</t>
    </rPh>
    <rPh sb="108" eb="109">
      <t>スベ</t>
    </rPh>
    <phoneticPr fontId="2"/>
  </si>
  <si>
    <t>共通04</t>
    <rPh sb="0" eb="2">
      <t>キョウツウ</t>
    </rPh>
    <phoneticPr fontId="18"/>
  </si>
  <si>
    <t xml:space="preserve"> </t>
  </si>
  <si>
    <t>1点：今後の対応に向けて、自ら情報収集しようとしている
2点：今後の対応に向け、班内や関連組織から情報収集している
3点：班の代表として、今後の対応に向け、班内や関連組織から情報収集している</t>
    <rPh sb="1" eb="2">
      <t>テン</t>
    </rPh>
    <rPh sb="3" eb="5">
      <t>コンゴ</t>
    </rPh>
    <rPh sb="6" eb="8">
      <t>タイオウ</t>
    </rPh>
    <rPh sb="9" eb="10">
      <t>ム</t>
    </rPh>
    <rPh sb="13" eb="14">
      <t>ミズカ</t>
    </rPh>
    <rPh sb="15" eb="19">
      <t>ジョウホウシュウシュウ</t>
    </rPh>
    <rPh sb="29" eb="30">
      <t>テン</t>
    </rPh>
    <rPh sb="40" eb="42">
      <t>ハンナイ</t>
    </rPh>
    <rPh sb="59" eb="60">
      <t>テン</t>
    </rPh>
    <rPh sb="61" eb="62">
      <t>ハン</t>
    </rPh>
    <rPh sb="63" eb="65">
      <t>ダイヒョウ</t>
    </rPh>
    <phoneticPr fontId="18"/>
  </si>
  <si>
    <t>1点：自身の行動に対する計画を立てている
2点：班活動に必要な計画を立てている
3点：班の代表として全社情報共有会議に参加することを想定して、班活動に必要な計画を立てている</t>
    <rPh sb="43" eb="44">
      <t>ハン</t>
    </rPh>
    <rPh sb="45" eb="47">
      <t>ダイヒョウ</t>
    </rPh>
    <rPh sb="50" eb="52">
      <t>ゼンシャ</t>
    </rPh>
    <rPh sb="52" eb="54">
      <t>ジョウホウ</t>
    </rPh>
    <rPh sb="54" eb="56">
      <t>キョウユウ</t>
    </rPh>
    <rPh sb="56" eb="58">
      <t>カイギ</t>
    </rPh>
    <rPh sb="59" eb="61">
      <t>サンカ</t>
    </rPh>
    <rPh sb="66" eb="68">
      <t>ソウテイ</t>
    </rPh>
    <phoneticPr fontId="18"/>
  </si>
  <si>
    <t>共通05</t>
    <rPh sb="0" eb="2">
      <t>キョウツウ</t>
    </rPh>
    <phoneticPr fontId="18"/>
  </si>
  <si>
    <t>発災当日19時
輻輳のため、携帯電話が繋がりにくい状態が継続しています。会社スマートフォンは通信ができる状況だが、自班の班長、班員は電話やチャットに応答せず、連絡がとれない状況です。
あなたならどのような行動をとりますか？
何を使用し、何を行うか具体的に記述して下さい。
※評価対象コンピテンシー：想像・先読み力、計画力</t>
    <rPh sb="29" eb="31">
      <t>ケイゾク</t>
    </rPh>
    <rPh sb="47" eb="49">
      <t>ツウシン</t>
    </rPh>
    <rPh sb="53" eb="55">
      <t>ジョウキョウ</t>
    </rPh>
    <rPh sb="67" eb="69">
      <t>デンワ</t>
    </rPh>
    <rPh sb="75" eb="77">
      <t>オウトウ</t>
    </rPh>
    <rPh sb="87" eb="89">
      <t>ジョウキョウ</t>
    </rPh>
    <phoneticPr fontId="18"/>
  </si>
  <si>
    <t>1点：今後の流れを想像・先読みした上で行動している。
2点：連絡の取れない班長や班員の置かれている状況を想定しつつ、必要な行動を想定している。
3点：連絡の取れない班長や班員の置かれている状況を想定しつつ、当面は班の代表者としての対応が必要であることを想定している。</t>
    <rPh sb="1" eb="2">
      <t>テン</t>
    </rPh>
    <rPh sb="3" eb="5">
      <t>コンゴ</t>
    </rPh>
    <rPh sb="6" eb="7">
      <t>ナガ</t>
    </rPh>
    <rPh sb="9" eb="11">
      <t>ソウゾウ</t>
    </rPh>
    <rPh sb="12" eb="14">
      <t>サキヨ</t>
    </rPh>
    <rPh sb="17" eb="18">
      <t>ウエ</t>
    </rPh>
    <rPh sb="19" eb="21">
      <t>コウドウ</t>
    </rPh>
    <rPh sb="28" eb="29">
      <t>テン</t>
    </rPh>
    <rPh sb="30" eb="32">
      <t>レンラク</t>
    </rPh>
    <rPh sb="33" eb="34">
      <t>ト</t>
    </rPh>
    <rPh sb="43" eb="44">
      <t>オ</t>
    </rPh>
    <rPh sb="58" eb="60">
      <t>ヒツヨウ</t>
    </rPh>
    <rPh sb="61" eb="63">
      <t>コウドウ</t>
    </rPh>
    <rPh sb="64" eb="66">
      <t>ソウテイ</t>
    </rPh>
    <rPh sb="73" eb="74">
      <t>テン</t>
    </rPh>
    <rPh sb="103" eb="105">
      <t>トウメン</t>
    </rPh>
    <rPh sb="106" eb="107">
      <t>ハン</t>
    </rPh>
    <rPh sb="108" eb="111">
      <t>ダイヒョウシャ</t>
    </rPh>
    <rPh sb="115" eb="117">
      <t>タイオウ</t>
    </rPh>
    <rPh sb="118" eb="120">
      <t>ヒツヨウ</t>
    </rPh>
    <rPh sb="126" eb="128">
      <t>ソウテイ</t>
    </rPh>
    <phoneticPr fontId="18"/>
  </si>
  <si>
    <t xml:space="preserve">1点：班長や班員と連絡を取るための計画を立てている
2点：班長や班員と連絡を取るための計画と、連絡が取れない場合の対応を計画している
3点：班の代表者目線で、情報統括班（危機管理室）との連携しながら、全社情報共有の輪への参加や危機管理DBの対応を計画している
</t>
    <rPh sb="27" eb="28">
      <t>テン</t>
    </rPh>
    <rPh sb="43" eb="45">
      <t>ケイカク</t>
    </rPh>
    <rPh sb="47" eb="49">
      <t>レンラク</t>
    </rPh>
    <rPh sb="50" eb="51">
      <t>ト</t>
    </rPh>
    <rPh sb="54" eb="56">
      <t>バアイ</t>
    </rPh>
    <rPh sb="57" eb="59">
      <t>タイオウ</t>
    </rPh>
    <rPh sb="60" eb="62">
      <t>ケイカク</t>
    </rPh>
    <rPh sb="68" eb="69">
      <t>テン</t>
    </rPh>
    <rPh sb="70" eb="71">
      <t>ハン</t>
    </rPh>
    <rPh sb="93" eb="95">
      <t>レンケイ</t>
    </rPh>
    <rPh sb="120" eb="122">
      <t>タイオウ</t>
    </rPh>
    <rPh sb="123" eb="125">
      <t>ケイカク</t>
    </rPh>
    <phoneticPr fontId="18"/>
  </si>
  <si>
    <t>共通06</t>
    <rPh sb="0" eb="2">
      <t>キョウツウ</t>
    </rPh>
    <phoneticPr fontId="18"/>
  </si>
  <si>
    <t>発災当日19時
SNSで「某国から弾道ミサイルが発射された」との情報を見つけました。
あなたならどのような行動を行いますか？
何を使用し、何を行うか具体的に記述して下さい。
※評価対象コンピテンシー：情報収集力、情報分析力、想像・先読み力</t>
    <rPh sb="0" eb="2">
      <t>ハッサイ</t>
    </rPh>
    <rPh sb="2" eb="4">
      <t>トウジツ</t>
    </rPh>
    <rPh sb="6" eb="7">
      <t>ジ</t>
    </rPh>
    <rPh sb="109" eb="114">
      <t>ジョウホウブンセキリョク</t>
    </rPh>
    <rPh sb="115" eb="117">
      <t>ソウゾウ</t>
    </rPh>
    <rPh sb="118" eb="120">
      <t>サキヨ</t>
    </rPh>
    <phoneticPr fontId="2"/>
  </si>
  <si>
    <t>1点：弾道ミサイル情報に関して情報収集しようとしている
2点：国からの弾道ミサイル情報（Jアラート情報もしくはメールなど）に関して確認している
3点：国からの弾道ミサイル情報（Jアラート情報もしくはメールなど）を確認し、真である可能性が高い場合は、班の代表として今後の対応に向けた班内や関連組織から情報収集している</t>
    <rPh sb="3" eb="5">
      <t>ダンドウ</t>
    </rPh>
    <rPh sb="9" eb="11">
      <t>ジョウホウ</t>
    </rPh>
    <rPh sb="12" eb="13">
      <t>カン</t>
    </rPh>
    <rPh sb="65" eb="67">
      <t>カクニン</t>
    </rPh>
    <rPh sb="75" eb="76">
      <t>クニ</t>
    </rPh>
    <rPh sb="79" eb="81">
      <t>ダンドウ</t>
    </rPh>
    <rPh sb="85" eb="87">
      <t>ジョウホウ</t>
    </rPh>
    <rPh sb="124" eb="125">
      <t>ハン</t>
    </rPh>
    <phoneticPr fontId="18"/>
  </si>
  <si>
    <t>1点：情報の真偽を確かめている
2点：情報の真偽を確かめた上で、重大な影響を及ぼす可能性がある因子の特定している
3点：情報の真偽の確認と、重大な影響を及ぼす可能性がある因子を特定した上で、災対本部など、班間でのサポートを要請（注意喚起）する等の行動を起こしている</t>
    <rPh sb="1" eb="2">
      <t>テン</t>
    </rPh>
    <rPh sb="3" eb="5">
      <t>ジョウホウ</t>
    </rPh>
    <rPh sb="6" eb="8">
      <t>シンギ</t>
    </rPh>
    <rPh sb="9" eb="10">
      <t>タシ</t>
    </rPh>
    <rPh sb="17" eb="18">
      <t>テン</t>
    </rPh>
    <rPh sb="29" eb="30">
      <t>ウエ</t>
    </rPh>
    <rPh sb="58" eb="59">
      <t>テン</t>
    </rPh>
    <rPh sb="66" eb="68">
      <t>カクニン</t>
    </rPh>
    <rPh sb="92" eb="93">
      <t>ウエ</t>
    </rPh>
    <phoneticPr fontId="18"/>
  </si>
  <si>
    <t>■情報分析の結果、偽と想定した場合
1点：フェイクニュースに惑わされている社員がいることを想定している
2点：類似のフェイクニュースが出ることを想定し、情報展開や注意喚起をしている
3点：情報展開や注意喚起に加えて、拡散しないように等、被害拡大抑止の行動をしている
■情報分析の結果、真と想定した場合
1点：本情報を把握していない社員がいることを想定している
2点：本情報を把握していない社員がいることを想定し、早急な注意喚起が必要であると想定している
3点：弾道ルートや落下予測地点に近い場所にいるメンバーには不要不急の外出を控え、原則自宅待機するよう指示が必要になることを想定している</t>
    <rPh sb="1" eb="5">
      <t>ジョウホウブンセキ</t>
    </rPh>
    <rPh sb="6" eb="8">
      <t>ケッカ</t>
    </rPh>
    <rPh sb="11" eb="13">
      <t>ソウテイ</t>
    </rPh>
    <rPh sb="15" eb="17">
      <t>バアイ</t>
    </rPh>
    <rPh sb="19" eb="20">
      <t>テン</t>
    </rPh>
    <rPh sb="30" eb="31">
      <t>マド</t>
    </rPh>
    <rPh sb="37" eb="39">
      <t>シャイン</t>
    </rPh>
    <rPh sb="45" eb="47">
      <t>ソウテイ</t>
    </rPh>
    <rPh sb="53" eb="54">
      <t>テン</t>
    </rPh>
    <rPh sb="72" eb="74">
      <t>ソウテイ</t>
    </rPh>
    <rPh sb="87" eb="88">
      <t>テン</t>
    </rPh>
    <rPh sb="104" eb="105">
      <t>クワ</t>
    </rPh>
    <rPh sb="143" eb="144">
      <t>シン</t>
    </rPh>
    <rPh sb="155" eb="156">
      <t>ホン</t>
    </rPh>
    <rPh sb="156" eb="158">
      <t>ジョウホウ</t>
    </rPh>
    <rPh sb="159" eb="161">
      <t>ハアク</t>
    </rPh>
    <rPh sb="207" eb="209">
      <t>ソウキュウ</t>
    </rPh>
    <rPh sb="215" eb="217">
      <t>ヒツヨウ</t>
    </rPh>
    <rPh sb="221" eb="223">
      <t>ソウテイ</t>
    </rPh>
    <rPh sb="281" eb="283">
      <t>ヒツヨウ</t>
    </rPh>
    <rPh sb="289" eb="291">
      <t>ソウテイ</t>
    </rPh>
    <phoneticPr fontId="18"/>
  </si>
  <si>
    <t>共通07</t>
    <rPh sb="0" eb="2">
      <t>キョウツウ</t>
    </rPh>
    <phoneticPr fontId="18"/>
  </si>
  <si>
    <t>発災当日19時半
全社情報共有の会議に参加したところ、自班で参加しているのはあなた一人でした。会議進行は西日本初動本部が行っています。
心の声（なんとか班員を招集しないといけないな・・・）
あなたならどのような行動をとりますか？
何を使用し、何を行うか具体的に記述して下さい。
※評価対象コンピテンシー：情報収集力、計画力</t>
    <rPh sb="7" eb="8">
      <t>ハン</t>
    </rPh>
    <rPh sb="17" eb="19">
      <t>カイギ</t>
    </rPh>
    <rPh sb="48" eb="52">
      <t>カイギシンコウ</t>
    </rPh>
    <rPh sb="61" eb="62">
      <t>オコナ</t>
    </rPh>
    <rPh sb="70" eb="71">
      <t>ココロ</t>
    </rPh>
    <rPh sb="72" eb="73">
      <t>コエ</t>
    </rPh>
    <rPh sb="78" eb="80">
      <t>ハンイン</t>
    </rPh>
    <rPh sb="81" eb="83">
      <t>ショウシュウ</t>
    </rPh>
    <rPh sb="156" eb="160">
      <t>ジョウホウシュウシュウ</t>
    </rPh>
    <phoneticPr fontId="18"/>
  </si>
  <si>
    <t>1点：班内の情報を収集しようとしている
2点：全社情報共有の会議に必要な情報に関して情報収集している
3点：情報収集の体制確立に向けて、班員の招集や他班との連携を検討している+L9</t>
    <rPh sb="5" eb="6">
      <t>クニ</t>
    </rPh>
    <rPh sb="9" eb="11">
      <t>ダンドウ</t>
    </rPh>
    <rPh sb="15" eb="17">
      <t>ジョウホウ</t>
    </rPh>
    <rPh sb="54" eb="55">
      <t>ハン</t>
    </rPh>
    <phoneticPr fontId="18"/>
  </si>
  <si>
    <t>1点：全社情報共有の会議での報告に向けた対応の計画をしている
2点：全社情報共有の会議で班の代表として、情報収集とそのまとめ、班行動の計画をしている
3点：全社情報共有の会議で班の代表として、情報収集とそのまとめ、班行動の計画と、他班への人的リソースの支援依頼など、実行に必要な調整まで計画している</t>
    <rPh sb="1" eb="2">
      <t>テン</t>
    </rPh>
    <rPh sb="32" eb="33">
      <t>テン</t>
    </rPh>
    <rPh sb="44" eb="45">
      <t>ハン</t>
    </rPh>
    <rPh sb="46" eb="48">
      <t>ダイヒョウ</t>
    </rPh>
    <rPh sb="76" eb="77">
      <t>テン</t>
    </rPh>
    <rPh sb="116" eb="117">
      <t>ハン</t>
    </rPh>
    <rPh sb="133" eb="135">
      <t>ジッコウ</t>
    </rPh>
    <rPh sb="136" eb="138">
      <t>ヒツヨウ</t>
    </rPh>
    <rPh sb="139" eb="141">
      <t>チョウセイ</t>
    </rPh>
    <rPh sb="143" eb="145">
      <t>ケイカク</t>
    </rPh>
    <phoneticPr fontId="18"/>
  </si>
  <si>
    <t>共通08</t>
    <rPh sb="0" eb="2">
      <t>キョウツウ</t>
    </rPh>
    <phoneticPr fontId="18"/>
  </si>
  <si>
    <t>発災当日19時半
NHKニュースの交通情報を会社スマートフォンで確認しました。
・東京都、神奈川県、千葉県、埼玉県の鉄道は全線停止
・道路は交通規制が発令され、各地で渋滞が発生中
（下図の高速道路、国道は一般車両通行止め、環状七号線内側方向の通行禁止）
あなたならどのような行動をとりますか？
何を使用し、何を行うか具体的に記述して下さい。
マップ引用（警視庁）
https://www.keishicho.metro.tokyo.lg.jp/kurashi/saigai/shinsai_kisei/kisei/kisei_1.html
※評価対象コンピテンシー：情報収集力、情報分析力、想像・先読み力</t>
    <rPh sb="7" eb="8">
      <t>ハン</t>
    </rPh>
    <phoneticPr fontId="18"/>
  </si>
  <si>
    <t>1点：必要な追加情報を収集している
2点：情報分析や今後の対応に必要な情報を収集している
3点：災害対応の全体像を見据えた上で、先手先手で指示をして、必要な情報を班内外から情報収集している</t>
    <rPh sb="1" eb="2">
      <t>テン</t>
    </rPh>
    <rPh sb="3" eb="5">
      <t>ヒツヨウ</t>
    </rPh>
    <rPh sb="6" eb="10">
      <t>ツイカジョウホウ</t>
    </rPh>
    <rPh sb="11" eb="13">
      <t>シュウシュウ</t>
    </rPh>
    <rPh sb="19" eb="20">
      <t>テン</t>
    </rPh>
    <rPh sb="21" eb="25">
      <t>ジョウホウブンセキ</t>
    </rPh>
    <rPh sb="26" eb="28">
      <t>コンゴ</t>
    </rPh>
    <rPh sb="29" eb="31">
      <t>タイオウ</t>
    </rPh>
    <rPh sb="32" eb="34">
      <t>ヒツヨウ</t>
    </rPh>
    <rPh sb="35" eb="37">
      <t>ジョウホウ</t>
    </rPh>
    <rPh sb="38" eb="40">
      <t>シュウシュウ</t>
    </rPh>
    <rPh sb="46" eb="47">
      <t>テン</t>
    </rPh>
    <rPh sb="48" eb="52">
      <t>サイガイタイオウ</t>
    </rPh>
    <rPh sb="53" eb="56">
      <t>ゼンタイゾウ</t>
    </rPh>
    <rPh sb="57" eb="59">
      <t>ミス</t>
    </rPh>
    <rPh sb="61" eb="62">
      <t>ウエ</t>
    </rPh>
    <phoneticPr fontId="18"/>
  </si>
  <si>
    <t>1点：自班やサービスへの影響がないかどうかを確かめている
2点：自班やサービスへの重大な影響を及ぼす可能性がある因子を特定している
3点：自班やサービスへの重大な影響を及ぼす可能性がある因子を特定した上で、災対本部など、班間でのサポートを要請（注意喚起）する等の行動を起こしている</t>
    <rPh sb="22" eb="23">
      <t>タシ</t>
    </rPh>
    <phoneticPr fontId="18"/>
  </si>
  <si>
    <t>1点：交通インフラ停止に伴う影響を想像している
2点：交通インフラ停止に伴う自班（帰宅困難者等）への影響を具体的に想像している
3点：交通インフラ停止に伴う自班（帰宅困難者等）やサービスへの影響を具体的に想像し、その対応や予防策を検討している</t>
    <rPh sb="41" eb="46">
      <t>キタクコンナンシャ</t>
    </rPh>
    <rPh sb="46" eb="47">
      <t>トウ</t>
    </rPh>
    <rPh sb="53" eb="56">
      <t>グタイテキ</t>
    </rPh>
    <rPh sb="67" eb="69">
      <t>コウツウ</t>
    </rPh>
    <rPh sb="73" eb="75">
      <t>テイシ</t>
    </rPh>
    <rPh sb="76" eb="77">
      <t>トモナ</t>
    </rPh>
    <phoneticPr fontId="18"/>
  </si>
  <si>
    <t>01本部長支援</t>
    <rPh sb="2" eb="5">
      <t>ホンブチョウ</t>
    </rPh>
    <rPh sb="5" eb="7">
      <t>シエン</t>
    </rPh>
    <phoneticPr fontId="18"/>
  </si>
  <si>
    <t>シーン2</t>
    <phoneticPr fontId="18"/>
  </si>
  <si>
    <t>共通09</t>
    <rPh sb="0" eb="2">
      <t>キョウツウ</t>
    </rPh>
    <phoneticPr fontId="18"/>
  </si>
  <si>
    <t>発災当日20時
引き続き、ネットは繋がるが、携帯電話は輻輳中で繋がりにくい状況です。班員とは連絡がとれましたが、班長と連絡が取れません。
あなたならどのような行動をとりますか？
何を使用し、何を行うか具体的に記述して下さい。
※評価対象コンピテンシー：コミュニケーション力、情報収集力</t>
    <rPh sb="18" eb="19">
      <t>ツナ</t>
    </rPh>
    <rPh sb="38" eb="40">
      <t>ジョウキョウ</t>
    </rPh>
    <phoneticPr fontId="18"/>
  </si>
  <si>
    <t>1点：班員への情報発信（一方向）
2点：自班内でコミュニケーションをとろうとしている（双方向）
3点：班長代理や副班長を中心とした体制を構築した上で、班間、班内でコミュニケーションをとろうとしている</t>
    <rPh sb="1" eb="2">
      <t>テン</t>
    </rPh>
    <rPh sb="7" eb="11">
      <t>ジョウホウハッシン</t>
    </rPh>
    <rPh sb="12" eb="15">
      <t>イチホウコウ</t>
    </rPh>
    <rPh sb="18" eb="19">
      <t>テン</t>
    </rPh>
    <rPh sb="22" eb="23">
      <t>ナイ</t>
    </rPh>
    <rPh sb="43" eb="46">
      <t>ソウホウコウ</t>
    </rPh>
    <rPh sb="49" eb="50">
      <t>テン</t>
    </rPh>
    <rPh sb="72" eb="73">
      <t>ウエ</t>
    </rPh>
    <rPh sb="75" eb="77">
      <t>ハンカン</t>
    </rPh>
    <rPh sb="78" eb="80">
      <t>ハンナイ</t>
    </rPh>
    <phoneticPr fontId="18"/>
  </si>
  <si>
    <t>1点：班長への連絡を試みている、班員から情報を収集している
2点：SNS等を含めて複数の手段を活用して班長への連絡を試みている
　　　　現時点での班内のとりまとめに必要な情報を特定した上で班員から情報収集している
3点：班長への連絡の試みや班員からの情報収集に加えて、情報統括班への支援依頼や体制構築などを行っている</t>
    <rPh sb="1" eb="2">
      <t>テン</t>
    </rPh>
    <rPh sb="16" eb="18">
      <t>ハンイン</t>
    </rPh>
    <rPh sb="20" eb="22">
      <t>ジョウホウ</t>
    </rPh>
    <rPh sb="23" eb="25">
      <t>シュウシュウ</t>
    </rPh>
    <rPh sb="31" eb="32">
      <t>テン</t>
    </rPh>
    <rPh sb="36" eb="37">
      <t>トウ</t>
    </rPh>
    <rPh sb="38" eb="39">
      <t>フク</t>
    </rPh>
    <rPh sb="41" eb="43">
      <t>フクスウ</t>
    </rPh>
    <rPh sb="44" eb="46">
      <t>シュダン</t>
    </rPh>
    <rPh sb="47" eb="49">
      <t>カツヨウ</t>
    </rPh>
    <rPh sb="51" eb="53">
      <t>ハンチョウ</t>
    </rPh>
    <rPh sb="55" eb="57">
      <t>レンラク</t>
    </rPh>
    <rPh sb="58" eb="59">
      <t>ココロ</t>
    </rPh>
    <rPh sb="68" eb="71">
      <t>ゲンジテン</t>
    </rPh>
    <rPh sb="73" eb="75">
      <t>ハンナイ</t>
    </rPh>
    <rPh sb="82" eb="84">
      <t>ヒツヨウ</t>
    </rPh>
    <rPh sb="85" eb="87">
      <t>ジョウホウ</t>
    </rPh>
    <rPh sb="88" eb="90">
      <t>トクテイ</t>
    </rPh>
    <rPh sb="92" eb="93">
      <t>ウエ</t>
    </rPh>
    <rPh sb="94" eb="96">
      <t>ハンイン</t>
    </rPh>
    <rPh sb="98" eb="102">
      <t>ジョウホウシュウシュウ</t>
    </rPh>
    <rPh sb="108" eb="109">
      <t>テン</t>
    </rPh>
    <rPh sb="117" eb="118">
      <t>ココロ</t>
    </rPh>
    <rPh sb="120" eb="122">
      <t>ハンイン</t>
    </rPh>
    <rPh sb="125" eb="129">
      <t>ジョウホウシュウシュウ</t>
    </rPh>
    <rPh sb="130" eb="131">
      <t>クワ</t>
    </rPh>
    <rPh sb="134" eb="139">
      <t>ジョウホウトウカツハン</t>
    </rPh>
    <rPh sb="141" eb="145">
      <t>シエンイライ</t>
    </rPh>
    <phoneticPr fontId="18"/>
  </si>
  <si>
    <t>共通10</t>
    <rPh sb="0" eb="2">
      <t>キョウツウ</t>
    </rPh>
    <phoneticPr fontId="18"/>
  </si>
  <si>
    <t>発災当日21時
西日本初動本部より、22時から全社情報共有の会議を実施する連絡が入りました。班長不在の中、会議開始までの1時間で班としてやるべきことを検討して下さい。
※評価対象コンピテンシー：コミュニケーション力、計画力</t>
    <rPh sb="24" eb="26">
      <t>ゼンシャ</t>
    </rPh>
    <rPh sb="26" eb="30">
      <t>ジョウホウキョウユウ</t>
    </rPh>
    <rPh sb="31" eb="33">
      <t>カイギ</t>
    </rPh>
    <phoneticPr fontId="18"/>
  </si>
  <si>
    <t>1点：班員への情報発信（一方向）
2点：班長と連絡をとり続けるとともに、全社情報共有の会議参加に向けて、自班内でコミュニケーションをとっている（双方向）
3点：班長と連絡をとり続けるとともに、班長代理や副班長を中心とした体制を構築した上で、班間、班内でコミュニケーションをとる準備をしている</t>
    <rPh sb="35" eb="37">
      <t>ゼンシャ</t>
    </rPh>
    <rPh sb="37" eb="39">
      <t>ジョウホウ</t>
    </rPh>
    <rPh sb="39" eb="41">
      <t>キョウユウ</t>
    </rPh>
    <rPh sb="42" eb="46">
      <t>カイギサンカ</t>
    </rPh>
    <rPh sb="47" eb="48">
      <t>ム</t>
    </rPh>
    <rPh sb="137" eb="139">
      <t>ジュンビ</t>
    </rPh>
    <phoneticPr fontId="18"/>
  </si>
  <si>
    <t>1点：全社情報共有の会議への参加に向けた準備を計画している
2点：全社情報共有の会議へ班の代表として参加するための準備を計画をしている
3点：全社情報共有の会議で班の代表として参加するための準備を具体的に計画をしている
　　　　※班長代理の擁立、班の体制構築、収集情報のまとめ、班行動の計画、班間連携の計画</t>
    <rPh sb="14" eb="16">
      <t>サンカ</t>
    </rPh>
    <rPh sb="20" eb="22">
      <t>ジュンビ</t>
    </rPh>
    <rPh sb="23" eb="25">
      <t>ケイカク</t>
    </rPh>
    <rPh sb="50" eb="52">
      <t>サンカ</t>
    </rPh>
    <rPh sb="57" eb="59">
      <t>ジュンビ</t>
    </rPh>
    <rPh sb="98" eb="101">
      <t>グタイテキ</t>
    </rPh>
    <rPh sb="115" eb="117">
      <t>ハンチョウ</t>
    </rPh>
    <rPh sb="117" eb="119">
      <t>ダイリ</t>
    </rPh>
    <rPh sb="120" eb="122">
      <t>ヨウリツ</t>
    </rPh>
    <rPh sb="123" eb="124">
      <t>ハン</t>
    </rPh>
    <rPh sb="125" eb="129">
      <t>タイセイコウチク</t>
    </rPh>
    <rPh sb="146" eb="150">
      <t>ハンカンレンケイ</t>
    </rPh>
    <rPh sb="151" eb="153">
      <t>ケイカク</t>
    </rPh>
    <phoneticPr fontId="18"/>
  </si>
  <si>
    <t>シーン2</t>
  </si>
  <si>
    <t>個別</t>
    <rPh sb="0" eb="2">
      <t>コベツ</t>
    </rPh>
    <phoneticPr fontId="18"/>
  </si>
  <si>
    <t>発災当日21時
会社スマートフォンを呼び出しているが応答はなく、Teamsチャットの既読もつかず、本部長（社長）の安否が不明です。
秘書室とは連絡が取れている状況です。
あなたならどのような行動をとりますか？
何を使用し、何を行うか具体的に記述して下さい。
※評価対象コンピテンシー：コミュニケーション力、情報収集力、計画力</t>
    <phoneticPr fontId="18"/>
  </si>
  <si>
    <r>
      <t>≪コミュニケーション≫</t>
    </r>
    <r>
      <rPr>
        <sz val="11"/>
        <color rgb="FF0000FF"/>
        <rFont val="Meiryo UI"/>
        <family val="3"/>
        <charset val="128"/>
      </rPr>
      <t>班員と連絡が取れる状況になったので指示/展開が行えるか？</t>
    </r>
    <r>
      <rPr>
        <sz val="11"/>
        <rFont val="Meiryo UI"/>
        <family val="3"/>
        <charset val="128"/>
      </rPr>
      <t xml:space="preserve">
・当事実を自身や周囲のメンバに展開　１点
・当事実を踏まえ班内に展開し、情報収集を支持する　２点
・当事象を班間に状況を共有、他班の協力を求める等アクションをおこしていれば　３点</t>
    </r>
    <rPh sb="41" eb="44">
      <t>トウジジツ</t>
    </rPh>
    <rPh sb="62" eb="65">
      <t>トウジジツ</t>
    </rPh>
    <rPh sb="66" eb="67">
      <t>フ</t>
    </rPh>
    <rPh sb="76" eb="78">
      <t>ジョウホウ</t>
    </rPh>
    <rPh sb="78" eb="80">
      <t>シュウシュウ</t>
    </rPh>
    <rPh sb="81" eb="83">
      <t>シジ</t>
    </rPh>
    <rPh sb="90" eb="93">
      <t>トウジショウ</t>
    </rPh>
    <rPh sb="103" eb="105">
      <t>タハン</t>
    </rPh>
    <rPh sb="106" eb="108">
      <t>キョウリョク</t>
    </rPh>
    <rPh sb="109" eb="110">
      <t>モト</t>
    </rPh>
    <rPh sb="112" eb="113">
      <t>トウ</t>
    </rPh>
    <phoneticPr fontId="18"/>
  </si>
  <si>
    <r>
      <t>≪情報収集力≫</t>
    </r>
    <r>
      <rPr>
        <sz val="11"/>
        <color rgb="FF0000FF"/>
        <rFont val="Meiryo UI"/>
        <family val="3"/>
        <charset val="128"/>
      </rPr>
      <t>班員と連絡が取れる状況になったので指示/展開が行えるか？</t>
    </r>
    <r>
      <rPr>
        <sz val="11"/>
        <rFont val="Meiryo UI"/>
        <family val="3"/>
        <charset val="128"/>
      </rPr>
      <t xml:space="preserve">
・自ら情報収集しようとしている　１点
・指示をして、問題解決に必要な情報を収集している　２点
　⇒まずは誰が災害対応可能かを情報収集する
・先手先手で指示をして、問題解決に必要な情報を災対本部などで班内外から情報収集している　３点</t>
    </r>
    <phoneticPr fontId="18"/>
  </si>
  <si>
    <r>
      <t>≪計画力≫</t>
    </r>
    <r>
      <rPr>
        <sz val="11"/>
        <color rgb="FF0000FF"/>
        <rFont val="Meiryo UI"/>
        <family val="3"/>
        <charset val="128"/>
      </rPr>
      <t>本部長の代行対応について、そろそろ並行して計画する必要がある</t>
    </r>
    <r>
      <rPr>
        <sz val="11"/>
        <rFont val="Meiryo UI"/>
        <family val="3"/>
        <charset val="128"/>
      </rPr>
      <t xml:space="preserve">
・自身の周辺または自身の顧客に関わる影響と、その対応を検討できていれば　１点
・自身の周辺と自身の顧客に関わる影響と、その対応を検討できていれば　２点
</t>
    </r>
    <r>
      <rPr>
        <sz val="11"/>
        <color theme="1"/>
        <rFont val="Meiryo UI"/>
        <family val="3"/>
        <charset val="128"/>
      </rPr>
      <t>・今後の計画、中長期的な展望にかんする対策・計画を行う行動で　３点
　（このまま社長との連絡が取れない場合は、副社長への代行が必要な点を考えられるか）</t>
    </r>
    <rPh sb="1" eb="3">
      <t>ケイカク</t>
    </rPh>
    <rPh sb="152" eb="154">
      <t>シャチョウ</t>
    </rPh>
    <rPh sb="156" eb="158">
      <t>レンラク</t>
    </rPh>
    <rPh sb="159" eb="160">
      <t>ト</t>
    </rPh>
    <rPh sb="163" eb="165">
      <t>バアイ</t>
    </rPh>
    <rPh sb="167" eb="170">
      <t>フクシャチョウ</t>
    </rPh>
    <rPh sb="172" eb="174">
      <t>ダイコウ</t>
    </rPh>
    <rPh sb="175" eb="177">
      <t>ヒツヨウ</t>
    </rPh>
    <rPh sb="178" eb="179">
      <t>テン</t>
    </rPh>
    <rPh sb="180" eb="181">
      <t>カンガ</t>
    </rPh>
    <phoneticPr fontId="18"/>
  </si>
  <si>
    <t>発災当日22時
本部長（社長）と連絡が取れましたが、身動きがとれない状況です。
本部長の代行を立てるためにあなたならどのような行動を行いますか？
副社長A(代行順位1位)　：連絡は取れるが、動き出せるのは翌日18時以降の見通し。
副社長B(代行順位2位)　：連絡がとれない。
副社長C(代行順位3位)　：連絡が取れる。
※評価対象コンピテンシー：情報分析力、想像・先読み力、計画力</t>
    <phoneticPr fontId="18"/>
  </si>
  <si>
    <t>≪情報分析力≫
時間シーンとしては、西初動本部長が代行しているため、発災直後としては、問題ない。（このまま）</t>
    <rPh sb="8" eb="10">
      <t>ジカン</t>
    </rPh>
    <rPh sb="18" eb="24">
      <t>ニシショドウホンブチョウ</t>
    </rPh>
    <rPh sb="25" eb="27">
      <t>ダイコウ</t>
    </rPh>
    <rPh sb="34" eb="36">
      <t>ハッサイ</t>
    </rPh>
    <rPh sb="36" eb="38">
      <t>チョクゴ</t>
    </rPh>
    <rPh sb="43" eb="45">
      <t>モンダイ</t>
    </rPh>
    <phoneticPr fontId="18"/>
  </si>
  <si>
    <t>≪想像・先読み≫
24時間後を見据え、代取4役で行動可能な方を探す
社長の行動制限が発災24時間後に解除可能か？代行順位に従い、24時間後の状況を整理する</t>
    <rPh sb="0" eb="2">
      <t>ソウゾウ</t>
    </rPh>
    <rPh sb="3" eb="5">
      <t>サキヨ</t>
    </rPh>
    <rPh sb="10" eb="13">
      <t>ジカンゴ</t>
    </rPh>
    <rPh sb="14" eb="16">
      <t>ミス</t>
    </rPh>
    <rPh sb="18" eb="20">
      <t>ダイトリ</t>
    </rPh>
    <rPh sb="21" eb="22">
      <t>ヤク</t>
    </rPh>
    <rPh sb="23" eb="27">
      <t>コウドウカノウ</t>
    </rPh>
    <rPh sb="28" eb="29">
      <t>カタ</t>
    </rPh>
    <rPh sb="30" eb="31">
      <t>サガ</t>
    </rPh>
    <rPh sb="33" eb="35">
      <t>シャチョウ</t>
    </rPh>
    <rPh sb="36" eb="40">
      <t>コウドウセイゲン</t>
    </rPh>
    <rPh sb="41" eb="43">
      <t>ハッサイ</t>
    </rPh>
    <rPh sb="45" eb="48">
      <t>ジカンゴ</t>
    </rPh>
    <rPh sb="49" eb="51">
      <t>カイジョ</t>
    </rPh>
    <rPh sb="51" eb="53">
      <t>カノウ</t>
    </rPh>
    <rPh sb="55" eb="59">
      <t>ダイコウジュンイ</t>
    </rPh>
    <rPh sb="60" eb="61">
      <t>シタガ</t>
    </rPh>
    <rPh sb="65" eb="68">
      <t>ジカンゴ</t>
    </rPh>
    <rPh sb="69" eb="71">
      <t>ジョウキョウセイリ</t>
    </rPh>
    <phoneticPr fontId="18"/>
  </si>
  <si>
    <t>≪計画力≫
万が一、社長代行で副社長を据える場合、代行解除の条件を整理し、当てはまる時間に代行解除を行う計画を立てる</t>
    <rPh sb="6" eb="7">
      <t>マン</t>
    </rPh>
    <rPh sb="8" eb="9">
      <t>イチ</t>
    </rPh>
    <rPh sb="10" eb="12">
      <t>シャチョウ</t>
    </rPh>
    <rPh sb="12" eb="14">
      <t>ダイコウ</t>
    </rPh>
    <rPh sb="15" eb="18">
      <t>フクシャチョウ</t>
    </rPh>
    <rPh sb="19" eb="20">
      <t>ス</t>
    </rPh>
    <rPh sb="22" eb="24">
      <t>バアイ</t>
    </rPh>
    <rPh sb="25" eb="29">
      <t>ダイコウカイジョ</t>
    </rPh>
    <rPh sb="30" eb="32">
      <t>ジョウケン</t>
    </rPh>
    <rPh sb="33" eb="35">
      <t>セイリ</t>
    </rPh>
    <rPh sb="37" eb="38">
      <t>ア</t>
    </rPh>
    <rPh sb="42" eb="44">
      <t>ジカン</t>
    </rPh>
    <rPh sb="45" eb="49">
      <t>ダイコウカイジョ</t>
    </rPh>
    <rPh sb="50" eb="51">
      <t>オコナ</t>
    </rPh>
    <rPh sb="52" eb="54">
      <t>ケイカク</t>
    </rPh>
    <rPh sb="55" eb="56">
      <t>タ</t>
    </rPh>
    <phoneticPr fontId="18"/>
  </si>
  <si>
    <t>発災翌日12時
西日本初動本部から、料金減免のHP掲載予定について問い合わせがありました。
あなたならどのような行動をとりますか？
何を使用し、何を行うか具体的に記述して下さい。
※評価対象コンピテンシー：コミュニケーション力、情報収集力</t>
    <phoneticPr fontId="18"/>
  </si>
  <si>
    <r>
      <t>≪コミュニケーション≫</t>
    </r>
    <r>
      <rPr>
        <sz val="11"/>
        <color rgb="FF0000FF"/>
        <rFont val="Meiryo UI"/>
        <family val="3"/>
        <charset val="128"/>
      </rPr>
      <t>班員と連絡が取れる状況になったので指示/展開が行えるか？</t>
    </r>
    <r>
      <rPr>
        <sz val="11"/>
        <rFont val="Meiryo UI"/>
        <family val="3"/>
        <charset val="128"/>
      </rPr>
      <t xml:space="preserve">
・当事実を自身や周囲のメンバに展開　１点
・当事実を班内および本部長に展開　２点
・班間に状況を共有、さらにアクションをおこしていれば　３点</t>
    </r>
    <rPh sb="41" eb="44">
      <t>トウジジツ</t>
    </rPh>
    <rPh sb="71" eb="74">
      <t>ホンブチョウ</t>
    </rPh>
    <phoneticPr fontId="18"/>
  </si>
  <si>
    <r>
      <t>≪情報収集力≫</t>
    </r>
    <r>
      <rPr>
        <sz val="11"/>
        <color rgb="FF0000FF"/>
        <rFont val="Meiryo UI"/>
        <family val="3"/>
        <charset val="128"/>
      </rPr>
      <t>班員と連絡が取れる状況になったので指示/展開が行えるか？</t>
    </r>
    <r>
      <rPr>
        <sz val="11"/>
        <rFont val="Meiryo UI"/>
        <family val="3"/>
        <charset val="128"/>
      </rPr>
      <t xml:space="preserve">
・適用条件等を自身で収集　1点
・適用条件等を班員を巻き込んで収集、収集する体制を整える　2点
・班間の情報を含め収集（ほかにあるのか等）　3点
</t>
    </r>
    <rPh sb="1" eb="3">
      <t>ジョウホウ</t>
    </rPh>
    <rPh sb="3" eb="6">
      <t>シュウシュウリョク</t>
    </rPh>
    <rPh sb="37" eb="41">
      <t>テキヨウジョウケン</t>
    </rPh>
    <rPh sb="41" eb="42">
      <t>トウ</t>
    </rPh>
    <rPh sb="43" eb="45">
      <t>ジシン</t>
    </rPh>
    <rPh sb="46" eb="48">
      <t>シュウシュウ</t>
    </rPh>
    <rPh sb="50" eb="51">
      <t>テン</t>
    </rPh>
    <rPh sb="53" eb="58">
      <t>テキヨウジョウケントウ</t>
    </rPh>
    <rPh sb="59" eb="61">
      <t>ハンイン</t>
    </rPh>
    <rPh sb="62" eb="63">
      <t>マ</t>
    </rPh>
    <rPh sb="64" eb="65">
      <t>コ</t>
    </rPh>
    <rPh sb="67" eb="69">
      <t>シュウシュウ</t>
    </rPh>
    <rPh sb="70" eb="72">
      <t>シュウシュウ</t>
    </rPh>
    <rPh sb="74" eb="76">
      <t>タイセイ</t>
    </rPh>
    <rPh sb="77" eb="78">
      <t>トトノ</t>
    </rPh>
    <rPh sb="82" eb="83">
      <t>テン</t>
    </rPh>
    <rPh sb="85" eb="87">
      <t>ハンカン</t>
    </rPh>
    <rPh sb="88" eb="90">
      <t>ジョウホウ</t>
    </rPh>
    <rPh sb="91" eb="92">
      <t>フク</t>
    </rPh>
    <rPh sb="93" eb="95">
      <t>シュウシュウ</t>
    </rPh>
    <rPh sb="103" eb="104">
      <t>トウ</t>
    </rPh>
    <rPh sb="107" eb="108">
      <t>テン</t>
    </rPh>
    <phoneticPr fontId="18"/>
  </si>
  <si>
    <t>発災翌日12時
西日本初動本部から、サービスごとの料金減免方針について問い合わせがありました。
あなたならどのような行動をとりますか？
何を使用し、何を行うか具体的に記述して下さい。
※評価対象コンピテンシー：コミュニケーション力</t>
    <phoneticPr fontId="18"/>
  </si>
  <si>
    <r>
      <t>≪コミュニケーション≫</t>
    </r>
    <r>
      <rPr>
        <sz val="11"/>
        <color rgb="FF0000FF"/>
        <rFont val="Meiryo UI"/>
        <family val="3"/>
        <charset val="128"/>
      </rPr>
      <t>班員と連絡が取れる状況になったので指示/展開が行えるか？</t>
    </r>
    <r>
      <rPr>
        <sz val="11"/>
        <rFont val="Meiryo UI"/>
        <family val="3"/>
        <charset val="128"/>
      </rPr>
      <t xml:space="preserve">
・自身や周囲のメンバに展開し、自己解決を図る　１点
・班内に展開し、班としての意思決定・回答をしている　２点
・2点に加え、班間に状況を共有、さらにアクション（同類質問がないようにとか）をおこしていれば　３点
</t>
    </r>
    <rPh sb="55" eb="59">
      <t>ジコカイケツ</t>
    </rPh>
    <rPh sb="60" eb="61">
      <t>ハカ</t>
    </rPh>
    <rPh sb="74" eb="75">
      <t>ハン</t>
    </rPh>
    <rPh sb="79" eb="83">
      <t>イシケッテイ</t>
    </rPh>
    <rPh sb="84" eb="86">
      <t>カイトウ</t>
    </rPh>
    <rPh sb="97" eb="98">
      <t>テン</t>
    </rPh>
    <rPh sb="99" eb="100">
      <t>クワ</t>
    </rPh>
    <rPh sb="120" eb="122">
      <t>ドウルイ</t>
    </rPh>
    <rPh sb="122" eb="124">
      <t>シツモン</t>
    </rPh>
    <phoneticPr fontId="18"/>
  </si>
  <si>
    <t>共通11</t>
    <rPh sb="0" eb="2">
      <t>キョウツウ</t>
    </rPh>
    <phoneticPr fontId="18"/>
  </si>
  <si>
    <t>発災翌日15時
班長と連絡が取れました。
あなたならどのような行動をとりますか？
何を使用し、何を行うか具体的に記述して下さい。
※評価対象コンピテンシー：コミュニケーション力</t>
    <rPh sb="2" eb="4">
      <t>ヨクジツ</t>
    </rPh>
    <phoneticPr fontId="18"/>
  </si>
  <si>
    <t>1点：班長への情報提供（一方向）
2点：班長へのこれまでの対応事項や課題感に関するコミュニケーションをとっている（双方向）
3点：班長と双方向とのコミュニケーションに加えて、全社情報共有会議での報告や危機管理DBへの投入など、班外へも情報を共有し、コミュニケーションの活性化を行う</t>
    <rPh sb="3" eb="5">
      <t>ハンチョウ</t>
    </rPh>
    <rPh sb="9" eb="11">
      <t>テイキョウ</t>
    </rPh>
    <rPh sb="20" eb="22">
      <t>ハンチョウ</t>
    </rPh>
    <rPh sb="29" eb="31">
      <t>タイオウ</t>
    </rPh>
    <rPh sb="31" eb="33">
      <t>ジコウ</t>
    </rPh>
    <rPh sb="34" eb="37">
      <t>カダイカン</t>
    </rPh>
    <rPh sb="38" eb="39">
      <t>カン</t>
    </rPh>
    <rPh sb="65" eb="67">
      <t>ハンチョウ</t>
    </rPh>
    <rPh sb="68" eb="71">
      <t>ソウホウコウ</t>
    </rPh>
    <rPh sb="83" eb="84">
      <t>クワ</t>
    </rPh>
    <phoneticPr fontId="18"/>
  </si>
  <si>
    <t>02広報</t>
    <rPh sb="2" eb="4">
      <t>コウホウ</t>
    </rPh>
    <phoneticPr fontId="18"/>
  </si>
  <si>
    <t>発災当日21時
SNS上で、(実際には故障していない)「OCNがつながらない、NTTドコモビジネスの通信障害だ！」との投稿が200件/30分あったとSLCから電話がありました。
あなたならどのような行動をとりますか？
何を使用し、何を行うか具体的に記述して下さい。
※評価対象コンピテンシー：情報収集力、計画力</t>
    <phoneticPr fontId="18"/>
  </si>
  <si>
    <t>≪情報収集力≫
・自ら情報収集しようとしている　１点
・指示をして、問題解決に必要な情報を収集している　２点
・先手先手で指示をして、問題解決に必要な情報を災対本部などで班内外から情報収集している　３点</t>
    <phoneticPr fontId="18"/>
  </si>
  <si>
    <t>≪計画力≫
・自分でできる対応を計画している　１点
・周囲の班員でできる対応を計画している　２点
・災害対応の全体像を見据えたり、先読みした内容を踏まえた上で、既存ルールにこだわらず対応を計画している　３点</t>
    <phoneticPr fontId="18"/>
  </si>
  <si>
    <t>発災当日22時
電話がつながりはじめました。NHKから電話で「NTTドコモビジネスのサービス故障の状況を30分以内に教えてほしい」と連絡がありました。その後、共同通信、読売新聞からも同様の電話が来ました。
あなたならどのような行動をとりますか？
何を使用し、何を行うか具体的に記述して下さい。
※評価対象コンピテンシー：コミュニケーション力、情報収集力</t>
    <phoneticPr fontId="18"/>
  </si>
  <si>
    <t>≪コミュニケーション力≫
・班内で指示/連絡をとろうとしている　１点
・班内、班間で具体的に意思疎通（傾聴＋伝達）している　２点
・組織や立場を超えて、付加価値を付けた上で自身の考えを意思疎通（傾聴＋伝達）している　３点</t>
    <rPh sb="39" eb="41">
      <t>ハンカン</t>
    </rPh>
    <rPh sb="51" eb="53">
      <t>ケイチョウ</t>
    </rPh>
    <rPh sb="54" eb="56">
      <t>デンタツ</t>
    </rPh>
    <rPh sb="66" eb="68">
      <t>ソシキ</t>
    </rPh>
    <rPh sb="69" eb="71">
      <t>タチバ</t>
    </rPh>
    <rPh sb="72" eb="73">
      <t>コ</t>
    </rPh>
    <rPh sb="76" eb="80">
      <t>フカカチ</t>
    </rPh>
    <rPh sb="81" eb="82">
      <t>ツ</t>
    </rPh>
    <rPh sb="84" eb="85">
      <t>ウエ</t>
    </rPh>
    <rPh sb="86" eb="88">
      <t>ジシン</t>
    </rPh>
    <rPh sb="89" eb="90">
      <t>カンガ</t>
    </rPh>
    <phoneticPr fontId="18"/>
  </si>
  <si>
    <t>≪情報収集力≫
・自ら情報収集しようとしている　１点
・指示をして、問題解決に必要な情報を収集している　２点
　⇒まずは誰が災害対応可能かを情報収集する
・先手先手で指示をして、問題解決に必要な情報を災対本部などで班内外から情報収集している　３点</t>
    <rPh sb="9" eb="10">
      <t>ミズカ</t>
    </rPh>
    <rPh sb="11" eb="15">
      <t>ジョウホウシュウシュウ</t>
    </rPh>
    <rPh sb="34" eb="38">
      <t>モンダイカイケツ</t>
    </rPh>
    <rPh sb="39" eb="41">
      <t>ヒツヨウ</t>
    </rPh>
    <rPh sb="42" eb="44">
      <t>ジョウホウ</t>
    </rPh>
    <rPh sb="45" eb="47">
      <t>シュウシュウ</t>
    </rPh>
    <rPh sb="60" eb="61">
      <t>ダレ</t>
    </rPh>
    <rPh sb="66" eb="68">
      <t>カノウ</t>
    </rPh>
    <rPh sb="100" eb="104">
      <t>サイタイホンブ</t>
    </rPh>
    <rPh sb="108" eb="110">
      <t>ナイガイ</t>
    </rPh>
    <phoneticPr fontId="18"/>
  </si>
  <si>
    <t>発災翌日12時
複数のサービスが故障しており、オフィシャルサイトのトップに故障情報が乱立しています。
あなたならどのような行動をとりますか？
何を使用し、何を行うか具体的に記述して下さい。
※評価対象コンピテンシー：計画力</t>
  </si>
  <si>
    <t>≪計画力≫
・自分でできる対応を計画している　１点
・周囲の班員でできる対応を計画している　２点
・災害対応の全体像を見据えたり、先読みした内容を踏まえた上で、既存ルールにこだわらず対応を計画している　３点</t>
    <rPh sb="102" eb="103">
      <t>テン</t>
    </rPh>
    <phoneticPr fontId="18"/>
  </si>
  <si>
    <t>発災翌日12時
ドコモ広報の担当者とのTeamsチャットのやり取りで、ドコモショップの店頭にて通信障害情報の掲示を1時間ごとに行うことが判明しました。
あなたならどのような行動を行いますか？
何を使用し、何を行うか具体的に記述して下さい。
※評価対象コンピテンシー：情報分析力、想像・先読み力</t>
    <phoneticPr fontId="18"/>
  </si>
  <si>
    <t>≪情報分析力≫
・情報分析（重大な影響を及ぼす可能性がある因子の特定）を試みている　１点
・情報分析を行い、重大な影響を及ぼす可能性がある因子の特定している　２点
・情報分析を行い、重大な影響を及ぼす可能性がある因子の特定した上で、災対本部など、班間でのサポートを要請（注意喚起）する等の行動を起こしている　３点</t>
    <phoneticPr fontId="18"/>
  </si>
  <si>
    <t>≪想像、先読み力≫
・次に起こる事を想定しようとしている　１点
・次に起こる事を想定して、今できることを検討している　２点
・災害対応の全体像を見据えた上で次に起こる事を想定して、具体的に対応や予防策を検討している　３点</t>
    <rPh sb="11" eb="12">
      <t>ツギ</t>
    </rPh>
    <rPh sb="52" eb="54">
      <t>ケントウ</t>
    </rPh>
    <rPh sb="90" eb="93">
      <t>グタイテキ</t>
    </rPh>
    <rPh sb="94" eb="96">
      <t>タイオウ</t>
    </rPh>
    <rPh sb="97" eb="100">
      <t>ヨボウサク</t>
    </rPh>
    <rPh sb="101" eb="103">
      <t>ケントウ</t>
    </rPh>
    <phoneticPr fontId="18"/>
  </si>
  <si>
    <t>03総務</t>
    <rPh sb="2" eb="4">
      <t>ソウム</t>
    </rPh>
    <phoneticPr fontId="18"/>
  </si>
  <si>
    <t>発災当日21時
自班のTeamsチャット上で各拠点の被災状況が報告されました。
・NTTドコモビジネスオフィスビルの被災状況として、事務室にモノが散乱しているエリア有
・猿楽ビルの玄関が被災し通行止めの状況
・大手町プレイスにて入室セキュリティシステムが一部停止
・その他のビルはエレベータの稼働が3割程度
・首都圏でビルに留まっているのは社員500名、委託業者320名、お客様55名
・重傷者（本人、家族）、家屋の重被害ともに数名のまま増加なし
あなたならどのような行動をとりますか？
何を使用し、何を行うか具体的に記述して下さい。
※評価対象コンピテンシー：コミュニケーション力、情報分析力、計画力</t>
  </si>
  <si>
    <t>1点：各組織総務厚生班への情報発信（一方向）
2点：各組織総務厚生班とコミュニケーションをとっている（双方向）
3点：班長不在の中でも班内の体制を構築した上で、各組織総務厚生班でコミュニケーションをとっている</t>
    <rPh sb="59" eb="63">
      <t>ハンチョウフザイ</t>
    </rPh>
    <rPh sb="64" eb="65">
      <t>ナカ</t>
    </rPh>
    <rPh sb="67" eb="69">
      <t>ハンナイ</t>
    </rPh>
    <phoneticPr fontId="18"/>
  </si>
  <si>
    <t>1点：お客様、社員、委託業者など関係者への影響を確かめている
2点：お客様、社員、委託業者など関係者への重大な影響を及ぼす可能性がある因子を特定している
3点：お客様、社員、委託業者など関係者への重大な影響を及ぼす可能性がある因子を特定した上で、具体的な対応策の検討や災対本部などへ班間サポートを要請する等の行動を起こしている</t>
    <rPh sb="123" eb="126">
      <t>グタイテキ</t>
    </rPh>
    <rPh sb="127" eb="130">
      <t>タイオウサク</t>
    </rPh>
    <rPh sb="131" eb="133">
      <t>ケントウ</t>
    </rPh>
    <phoneticPr fontId="18"/>
  </si>
  <si>
    <t>1点：班内でできる被災状況への対応を検討している
2点：被災状況の分析結果に応じて、優先順位や適切な対応を具体的なに検討している
3点：被災状況の分析結果に応じて、災害対応の全体像を想定しながら、優先順位や適切な対応を先手先手で具体的に検討している</t>
    <rPh sb="3" eb="5">
      <t>ハンナイ</t>
    </rPh>
    <rPh sb="9" eb="13">
      <t>ヒサイジョウキョウ</t>
    </rPh>
    <rPh sb="28" eb="32">
      <t>ヒサイジョウキョウ</t>
    </rPh>
    <rPh sb="33" eb="37">
      <t>ブンセキケッカ</t>
    </rPh>
    <rPh sb="38" eb="39">
      <t>オウ</t>
    </rPh>
    <rPh sb="42" eb="46">
      <t>ユウセンジュンイ</t>
    </rPh>
    <rPh sb="47" eb="49">
      <t>テキセツ</t>
    </rPh>
    <rPh sb="50" eb="52">
      <t>タイオウ</t>
    </rPh>
    <rPh sb="53" eb="56">
      <t>グタイテキ</t>
    </rPh>
    <phoneticPr fontId="18"/>
  </si>
  <si>
    <t>発災翌日6時
地震発生から約12時間後の安否集計結果が、回答数7,520名。2.5割程度が本人・家族・家屋に被害発生。業務可能者は出社・リモートを含め5割程度。
班長とは未だ連絡が取れていません。勤務可能な社員が限られる一方で、安否不明者が多数います。
あなたならどのような行動をとりますか？
何を使用し、何を行うか具体的に記述して下さい。
※評価対象コンピテンシー：コミュニケーション力、情報収集力、想像・先読み力</t>
  </si>
  <si>
    <t>1点：各組織総務厚生班への情報発信（一方向）
2点：各組織総務厚生班とコミュニケーションをとっている（双方向）
3点：班長不在の中でも班内の体制を構築した上で、各組織総務厚生班でコミュニケーションをとっている</t>
    <phoneticPr fontId="18"/>
  </si>
  <si>
    <t>1点：自ら情報収集しようとしている
2点：指示をして各組織総務厚生班から安否不明者への対応状況や被害状況などの情報収集をしている
3点：班長不在の中でも班内の体制を構築した上で、先手先手で指示をして安否不明者への対応状況や被害状況などに関して災害対策本部などで班内外から情報収集している</t>
    <rPh sb="99" eb="104">
      <t>アンピフメイシャ</t>
    </rPh>
    <rPh sb="106" eb="108">
      <t>タイオウ</t>
    </rPh>
    <rPh sb="108" eb="110">
      <t>ジョウキョウ</t>
    </rPh>
    <rPh sb="111" eb="115">
      <t>ヒガイジョウキョウ</t>
    </rPh>
    <rPh sb="118" eb="119">
      <t>カン</t>
    </rPh>
    <rPh sb="121" eb="125">
      <t>サイガイタイサク</t>
    </rPh>
    <phoneticPr fontId="18"/>
  </si>
  <si>
    <t>1点：安否集計結果を元に次に起こる事を想定しようとしている
2点：安否集計結果を元に次に起こる事や自班やサービスへの影響を具体的に想像している
3点：安否集計結果を元に事態が改善や悪化することを先読みしながら自班やサービスへの影響を具体的に想像している</t>
    <rPh sb="3" eb="9">
      <t>アンピシュウケイケッカ</t>
    </rPh>
    <rPh sb="10" eb="11">
      <t>モト</t>
    </rPh>
    <phoneticPr fontId="18"/>
  </si>
  <si>
    <t>発災翌日9時
自班のTeamsチャットで、首都圏内のNTTドコモビジネスオフィスビルのエントランス等へ一般の避難者が入り、ビルに留まっているとの情報が多く寄せられています。各ビルとも空調は稼働しているが、室温、照明等は省力稼働となっています。
あなたはどのような対応を計画しますか？
※評価対象コンピテンシー：情報収集力、想像・先読み力、計画力</t>
    <phoneticPr fontId="18"/>
  </si>
  <si>
    <t>1点：自ら情報収集しようとしている
2点：指示をして首都圏内のNTTドコモビジネスオフィスビルの状況の情報収集をしている
3点：避難者の心理面も含めて、今後の対応に必要な情報を先手先手で指示をして、災害対策本部など班内外から情報収集している</t>
    <rPh sb="64" eb="67">
      <t>ヒナンシャ</t>
    </rPh>
    <rPh sb="68" eb="70">
      <t>シンリ</t>
    </rPh>
    <rPh sb="70" eb="71">
      <t>メン</t>
    </rPh>
    <rPh sb="72" eb="73">
      <t>フク</t>
    </rPh>
    <rPh sb="76" eb="78">
      <t>コンゴ</t>
    </rPh>
    <rPh sb="79" eb="81">
      <t>タイオウ</t>
    </rPh>
    <rPh sb="82" eb="84">
      <t>ヒツヨウ</t>
    </rPh>
    <rPh sb="85" eb="87">
      <t>ジョウホウ</t>
    </rPh>
    <phoneticPr fontId="18"/>
  </si>
  <si>
    <t>1点：次に起こる事を想定しようとしている
2点：次に起こる事を想定しつつ、必要な行動を具体的に検討している
3点：災害対応の全体プロセスを見据えて、次に起こる事を想定しつつ、必要な行動を具体的に検討している</t>
    <rPh sb="43" eb="46">
      <t>グタイテキ</t>
    </rPh>
    <rPh sb="47" eb="49">
      <t>ケントウ</t>
    </rPh>
    <rPh sb="57" eb="61">
      <t>サイガイタイオウ</t>
    </rPh>
    <rPh sb="62" eb="64">
      <t>ゼンタイ</t>
    </rPh>
    <rPh sb="69" eb="71">
      <t>ミス</t>
    </rPh>
    <rPh sb="93" eb="96">
      <t>グタイテキ</t>
    </rPh>
    <phoneticPr fontId="18"/>
  </si>
  <si>
    <t>1点：班内でできる対応を計画している
2点：班活動に必要な計画を立てている
3点：今後の状況を改善や悪化、現状維持など複数のシナリオを念頭に置きながら、具体的な計画を立てている</t>
    <rPh sb="41" eb="43">
      <t>コンゴ</t>
    </rPh>
    <rPh sb="44" eb="46">
      <t>ジョウキョウ</t>
    </rPh>
    <rPh sb="47" eb="49">
      <t>カイゼン</t>
    </rPh>
    <rPh sb="50" eb="52">
      <t>アッカ</t>
    </rPh>
    <rPh sb="53" eb="55">
      <t>ゲンジョウ</t>
    </rPh>
    <rPh sb="55" eb="57">
      <t>イジ</t>
    </rPh>
    <rPh sb="59" eb="61">
      <t>フクスウ</t>
    </rPh>
    <rPh sb="67" eb="69">
      <t>ネントウ</t>
    </rPh>
    <rPh sb="70" eb="71">
      <t>オ</t>
    </rPh>
    <rPh sb="76" eb="79">
      <t>グタイテキ</t>
    </rPh>
    <phoneticPr fontId="18"/>
  </si>
  <si>
    <t>発災翌日12時
自班のTeamsチャットへ情報が寄せられました。
・NTTドコモビジネスオフィスビルでは、災対備蓄品を利用した食事を提供
・自家発電の稼働によって、各ビル設備はほぼ通常運用中
・首都圏以外の社員・パートナー社員の被災はほぼ無く、ほとんどが業務可能
・首都圏へ出張中の社員の一部が帰宅出来ていない
あなたならどのような行動をとりますか？
何を使用し、何を行うか具体的に記述して下さい。
※評価対象コンピテンシー：コミュニケーション力、想像・先読み力、計画力</t>
  </si>
  <si>
    <t>1点：各組織総務厚生班や帰宅困難社員の所属組織と連絡をとろうとしている
2点：各組織総務厚生班や帰宅困難社員の所属組織と双方向でコミュニケーションをとっている
3点：各組織総務厚生班や帰宅困難社員の所属組織と双方向でコミュニケーションをとることに加え、班長不在の中でも班内の体制を構築した上で、全社情報共有会議での報告や危機管理DBへの投入など、班外へも情報を共有し、コミュニケーションの活性化を行う</t>
    <rPh sb="19" eb="23">
      <t>ショゾクソシキ</t>
    </rPh>
    <rPh sb="24" eb="26">
      <t>レンラク</t>
    </rPh>
    <rPh sb="60" eb="63">
      <t>ソウホウコウ</t>
    </rPh>
    <rPh sb="123" eb="124">
      <t>クワ</t>
    </rPh>
    <phoneticPr fontId="18"/>
  </si>
  <si>
    <t>1点：次に起こる事を想定しようとしている
2点：次に起こる事を想定しつつ、必要な行動を具体的に検討している
3点：食事提供や帰宅困難社員に対して、災害対応の全体プロセスを見据えて、次に起こる事を想定しつつ、必要な行動を具体的に検討している</t>
    <rPh sb="57" eb="61">
      <t>ショクジテイキョウ</t>
    </rPh>
    <rPh sb="62" eb="68">
      <t>キタクコンナンシャイン</t>
    </rPh>
    <rPh sb="69" eb="70">
      <t>タイ</t>
    </rPh>
    <rPh sb="85" eb="87">
      <t>ミス</t>
    </rPh>
    <phoneticPr fontId="18"/>
  </si>
  <si>
    <t>1点：班内でできる対応を計画している
2点：食事提供や帰宅困難社員に対応の計画を立てている
3点：今後の状況を改善や悪化、現状維持など複数のシナリオを念頭に置きながら、食事提供や帰宅困難社員対応の具体的な計画を立てている</t>
    <rPh sb="34" eb="36">
      <t>タイオウ</t>
    </rPh>
    <phoneticPr fontId="18"/>
  </si>
  <si>
    <t>04サービス</t>
    <phoneticPr fontId="18"/>
  </si>
  <si>
    <t>発災当日21時
ドコモ代理サービスに影響が出ているらしいとサービス主管部門（5GIoTの担当者）からTeamsチャットで報告を受けました。
あなたならどのような行動をとりますか？
何を使用し、何を行うか具体的に記述して下さい。
※評価対象コンピテンシー：コミュニケーション力、情報収集力</t>
    <phoneticPr fontId="18"/>
  </si>
  <si>
    <t>1点：サービス主管部門と連絡をとうろうとしている（情報収集）
2点：サービス主管部門とのコミュニケーション窓口となって情報をコントロールしている
3点：サービス主管部門とのコミュニケーション窓口となり班間の情報をコントロールし、当該代理サービス並びに代理サービスの影響については、ドコモ側の緊急体制Lv1/Lv2会議の開催状況を確認しようとしている、または情報統括班へ依頼してドコモから情報収集している</t>
    <rPh sb="12" eb="14">
      <t>レンラク</t>
    </rPh>
    <rPh sb="53" eb="55">
      <t>マドグチ</t>
    </rPh>
    <rPh sb="59" eb="61">
      <t>ジョウホウ</t>
    </rPh>
    <rPh sb="100" eb="102">
      <t>ハンカン</t>
    </rPh>
    <phoneticPr fontId="18"/>
  </si>
  <si>
    <t>1点：自らサービス主管門から情報収集している
2点：指示をして班内の各サービス主幹部門から情報収集している
3点：指示をして班内の各サービス主幹部門から情報収集するとともに、当該代理サービス並びに代理サービスの影響については、ドコモ側の緊急体制Lv1/Lv2会議の開催状況を確認しようとしている、または情報統括班へ依頼してドコモから情報収集している</t>
    <rPh sb="11" eb="12">
      <t>モン</t>
    </rPh>
    <rPh sb="31" eb="33">
      <t>ハンナイ</t>
    </rPh>
    <rPh sb="34" eb="35">
      <t>カク</t>
    </rPh>
    <rPh sb="39" eb="43">
      <t>シュカンブモン</t>
    </rPh>
    <phoneticPr fontId="18"/>
  </si>
  <si>
    <t>発災当日21時
携帯電話サービスに影響が出ているという情報を危機管理DB「ドコモ災対」タブで確認しました。非常態勢時において携帯サービスの影響確認をどのように行いますか？
＜危機管理DBの記載内容＞
◆輻輳規制地域情報
　・アクセス％規制：CS10%
　・SSAC規制：50% 
　・着CA規制（3G/LTE）：90%
　・固定向け電番規制（東京、千葉、神奈川、埼玉向け）：75%
◆基地局被害状況
　・サービス中断835（東京231、千葉121、神奈川267、埼玉216）
　・停電1,750（東京602、千葉289、神奈川464、埼玉395）
※評価対象コンピテンシー：情報分析力、想像・先読み力</t>
    <rPh sb="11" eb="13">
      <t>デンワ</t>
    </rPh>
    <phoneticPr fontId="18"/>
  </si>
  <si>
    <t>1点：危機管理DBの情報を分析して、サービス影響を把握しようとしている
2点：危機管理DBの情報を分析して、サービス影響を及ぼす可能性がある因子の特定している
3点：危機管理DBの情報を分析して、重大なサービス影響を及ぼす可能性がある因子を特定した上で、災害対策本部など、班間でのサポートを要請（注意喚起）する等の行動に活かしている</t>
    <rPh sb="13" eb="15">
      <t>ブンセキ</t>
    </rPh>
    <rPh sb="22" eb="24">
      <t>エイキョウ</t>
    </rPh>
    <rPh sb="25" eb="27">
      <t>ハアク</t>
    </rPh>
    <rPh sb="83" eb="87">
      <t>キキカンリ</t>
    </rPh>
    <rPh sb="90" eb="92">
      <t>ジョウホウ</t>
    </rPh>
    <rPh sb="127" eb="131">
      <t>サイガイタイサク</t>
    </rPh>
    <rPh sb="131" eb="133">
      <t>ホンブ</t>
    </rPh>
    <rPh sb="160" eb="161">
      <t>イ</t>
    </rPh>
    <phoneticPr fontId="18"/>
  </si>
  <si>
    <t>1点：次に起こる事を想定しようとしている
2点：次に起こる事を想定しつつ、必要な行動を具体的に検討している
3点：サービス影響の悪化や改善を想定しながら、災害対応の全体プロセスを見据えて、次に起こる事を想定しつつ、必要な行動を具体的に検討している</t>
    <rPh sb="61" eb="63">
      <t>エイキョウ</t>
    </rPh>
    <rPh sb="64" eb="66">
      <t>アッカ</t>
    </rPh>
    <rPh sb="67" eb="69">
      <t>カイゼン</t>
    </rPh>
    <rPh sb="70" eb="72">
      <t>ソウテイ</t>
    </rPh>
    <phoneticPr fontId="18"/>
  </si>
  <si>
    <t>発災当日22時
全社情報共有の会議にて設備班より中央第二光（新立川別～新宿別）ケーブル断情報が共有されました。
あなたならどのような行動をとりますか？
何を使用し、何を行うか具体的に記述して下さい。
※評価対象コンピテンシー：コミュニケーション力、情報分析力、想像・先読み力</t>
    <phoneticPr fontId="18"/>
  </si>
  <si>
    <t>1点：設備班と連絡をとろうとしている
2点：設備班やサービス影響に関連する班内メンバと双方向でコミュニケーションをとっている
3点：班長不在の中でも班内の体制を構築した上で、サービス影響の把握や今後の対応に向けて必要な班内外との双方向コミュニケーションをとっている</t>
    <rPh sb="3" eb="6">
      <t>セツビハン</t>
    </rPh>
    <rPh sb="22" eb="25">
      <t>セツビハン</t>
    </rPh>
    <rPh sb="30" eb="32">
      <t>エイキョウ</t>
    </rPh>
    <rPh sb="33" eb="35">
      <t>カンレン</t>
    </rPh>
    <rPh sb="37" eb="39">
      <t>ハンナイ</t>
    </rPh>
    <rPh sb="91" eb="93">
      <t>エイキョウ</t>
    </rPh>
    <rPh sb="94" eb="96">
      <t>ハアク</t>
    </rPh>
    <rPh sb="97" eb="99">
      <t>コンゴ</t>
    </rPh>
    <rPh sb="100" eb="102">
      <t>タイオウ</t>
    </rPh>
    <rPh sb="103" eb="104">
      <t>ム</t>
    </rPh>
    <rPh sb="106" eb="108">
      <t>ヒツヨウ</t>
    </rPh>
    <rPh sb="109" eb="112">
      <t>ハンナイガイ</t>
    </rPh>
    <phoneticPr fontId="18"/>
  </si>
  <si>
    <t>1点：サービスへの影響を確認している
2点：サービスへの重大な影響を及ぼす可能性がある因子を特定している
3点：自班やサービスへの重大な影響を及ぼす可能性がある因子を特定した上で、災対本部など、班間でのサポートを要請（注意喚起）する等の行動を起こしている</t>
    <rPh sb="12" eb="14">
      <t>カクニン</t>
    </rPh>
    <phoneticPr fontId="18"/>
  </si>
  <si>
    <t>1点：次に起こる事を想定しようとしている
2点：次に起こる事を想定しつつ、必要な行動を具体的に検討している
3点：サービス影響の悪化や改善を想定しながら、災害対応の全体プロセスを見据えて、次に起こる事を想定しつつ、事前対策等、必要な行動を具体的に検討している</t>
    <rPh sb="107" eb="112">
      <t>ジゼンタイサクトウ</t>
    </rPh>
    <phoneticPr fontId="18"/>
  </si>
  <si>
    <t>発災翌日12時
全社情報共有の会議で設備班から以下の情報が流れて来ました。
・唐ヶ崎、白鬚、千葉港、一ツ橋ビル停電発生
　※一ツ橋は30分で復電
・電力・空調設備は異常なし（エンジン運転中）
あなたならどのような行動をとりますか？
何を使用し、何を行うか具体的に記述して下さい。
※評価対象コンピテンシー：情報分析力、想像・先読み力</t>
    <phoneticPr fontId="18"/>
  </si>
  <si>
    <t>1点：サービスへの影響を確認している
2点：サービスへの重大な影響を及ぼす可能性がある因子（燃料切れ）を特定している
3点：自班やサービスへの重大な影響を及ぼす可能性がある因子（燃料切れ）を特定した上で、最悪の事態に対応するための行動を起こしている</t>
    <rPh sb="46" eb="49">
      <t>ネンリョウギ</t>
    </rPh>
    <rPh sb="102" eb="104">
      <t>サイアク</t>
    </rPh>
    <rPh sb="105" eb="107">
      <t>ジタイ</t>
    </rPh>
    <rPh sb="108" eb="110">
      <t>タイオウ</t>
    </rPh>
    <rPh sb="115" eb="117">
      <t>コウドウ</t>
    </rPh>
    <phoneticPr fontId="18"/>
  </si>
  <si>
    <t>1点：次に起こる事を想定しようとしている
2点：次に起こる事（燃料切れ）を想定しつつ、必要な行動を具体的に検討している
3点：事態の悪化（燃料切れ）を想定しながら、災害対応の全体プロセスを見据えて、対応策や事前対策等、必要な行動を具体的に検討している</t>
    <rPh sb="31" eb="34">
      <t>ネンリョウギ</t>
    </rPh>
    <rPh sb="63" eb="65">
      <t>ジタイ</t>
    </rPh>
    <rPh sb="66" eb="68">
      <t>アッカ</t>
    </rPh>
    <rPh sb="69" eb="72">
      <t>ネンリョウギ</t>
    </rPh>
    <rPh sb="75" eb="77">
      <t>ソウテイ</t>
    </rPh>
    <rPh sb="99" eb="102">
      <t>タイオウサク</t>
    </rPh>
    <phoneticPr fontId="18"/>
  </si>
  <si>
    <t>05お客様対応</t>
    <rPh sb="3" eb="5">
      <t>キャクサマ</t>
    </rPh>
    <rPh sb="5" eb="7">
      <t>タイオウ</t>
    </rPh>
    <phoneticPr fontId="18"/>
  </si>
  <si>
    <r>
      <t>発災当日21時</t>
    </r>
    <r>
      <rPr>
        <sz val="11"/>
        <color rgb="FFFF0000"/>
        <rFont val="Meiryo UI"/>
        <family val="3"/>
        <charset val="128"/>
      </rPr>
      <t xml:space="preserve">
</t>
    </r>
    <r>
      <rPr>
        <sz val="11"/>
        <color theme="1"/>
        <rFont val="Meiryo UI"/>
        <family val="3"/>
        <charset val="128"/>
      </rPr>
      <t xml:space="preserve">
「自身の所属組織は非被災地であるにも関わらず、被災直後に被災エリアに拠点を持つお客様からの問い合わせが複数発生した」との連絡が全社情報共有の会議参加の営業担当者から入ってきました。お客様対応班の事務局メンバーは不在です。
あなたならどのような行動を行いますか？
何を使用し、何を行うか具体的に記述して下さい。
※評価対象コンピテンシー：コミュニケーション力、情報収集力</t>
    </r>
    <rPh sb="74" eb="76">
      <t>ジョウホウ</t>
    </rPh>
    <rPh sb="190" eb="195">
      <t>ジョウホウシュウシュウリョク</t>
    </rPh>
    <phoneticPr fontId="18"/>
  </si>
  <si>
    <t>≪コミュニケーション力≫
・求められた意見に対して自身の経験や知識をもとにアドバイス　１点
・その他の同様の問合せや依頼が来ていることも想定し、貸出物品に関する情報展開と情報収集を実施　２点
・貸出物品にとどまらず、潜在的なニーズも意識して情報を聞き出す・収集する行動を実施　３点</t>
    <rPh sb="14" eb="15">
      <t>モト</t>
    </rPh>
    <rPh sb="19" eb="21">
      <t>イケン</t>
    </rPh>
    <rPh sb="22" eb="23">
      <t>タイ</t>
    </rPh>
    <rPh sb="25" eb="27">
      <t>ジシン</t>
    </rPh>
    <rPh sb="28" eb="30">
      <t>ケイケン</t>
    </rPh>
    <rPh sb="31" eb="33">
      <t>チシキ</t>
    </rPh>
    <rPh sb="44" eb="45">
      <t>テン</t>
    </rPh>
    <rPh sb="49" eb="50">
      <t>タ</t>
    </rPh>
    <rPh sb="51" eb="53">
      <t>ドウヨウ</t>
    </rPh>
    <rPh sb="54" eb="56">
      <t>トイアワ</t>
    </rPh>
    <rPh sb="58" eb="60">
      <t>イライ</t>
    </rPh>
    <rPh sb="61" eb="62">
      <t>キ</t>
    </rPh>
    <rPh sb="68" eb="70">
      <t>ソウテイ</t>
    </rPh>
    <rPh sb="72" eb="74">
      <t>カシダシ</t>
    </rPh>
    <rPh sb="74" eb="76">
      <t>ブッピン</t>
    </rPh>
    <rPh sb="77" eb="78">
      <t>カン</t>
    </rPh>
    <rPh sb="80" eb="82">
      <t>ジョウホウ</t>
    </rPh>
    <rPh sb="82" eb="84">
      <t>テンカイ</t>
    </rPh>
    <rPh sb="85" eb="87">
      <t>ジョウホウ</t>
    </rPh>
    <rPh sb="87" eb="89">
      <t>シュウシュウ</t>
    </rPh>
    <rPh sb="90" eb="92">
      <t>ジッシ</t>
    </rPh>
    <rPh sb="94" eb="95">
      <t>テン</t>
    </rPh>
    <rPh sb="97" eb="99">
      <t>カシダシ</t>
    </rPh>
    <rPh sb="99" eb="101">
      <t>ブッピン</t>
    </rPh>
    <rPh sb="108" eb="111">
      <t>センザイテキ</t>
    </rPh>
    <rPh sb="116" eb="118">
      <t>イシキ</t>
    </rPh>
    <rPh sb="120" eb="122">
      <t>ジョウホウ</t>
    </rPh>
    <rPh sb="123" eb="124">
      <t>キ</t>
    </rPh>
    <rPh sb="125" eb="126">
      <t>ダ</t>
    </rPh>
    <rPh sb="128" eb="130">
      <t>シュウシュウ</t>
    </rPh>
    <rPh sb="132" eb="134">
      <t>コウドウ</t>
    </rPh>
    <rPh sb="135" eb="137">
      <t>ジッシ</t>
    </rPh>
    <rPh sb="139" eb="140">
      <t>テン</t>
    </rPh>
    <phoneticPr fontId="18"/>
  </si>
  <si>
    <t>≪情報収集力≫
・自身の判断でなんとか対応しようとする　１点
・まず記録に残す　1点
・班内への情報展開と情報収集によって、よりよい対応に努める　２点
・非被災地のどんなエリアからの情報か収集する　2点
・班をまたがる情報収集、展開を行い、より効率的な活動を行う　３点
・非被災地のお客さまの要望を把握し、広報的な情報発信を提案する　3</t>
    <phoneticPr fontId="18"/>
  </si>
  <si>
    <t>発災当日21時
「非被災地のお客さまから、東京エリアへの通信NGとの申告が急激に増えてきた。」との情報が全社情報共有の会議参加の営業担当者から入ってきました。設備障害の発生が疑わしい状況で、お客様対応班の事務局メンバーは不在です。
あなたならどのような行動を行いますか？
何を使用し、何を行うか具体的に記述して下さい。
※評価対象コンピテンシー：コミュニケーション力、情報収集力</t>
    <phoneticPr fontId="18"/>
  </si>
  <si>
    <t xml:space="preserve">≪情報収集力≫
・自身の判断でなんとか対応しようとする　１点
・まず記録に残す　1点
・班内への情報展開と情報収集によって、よりよい対応に努める　２点
・非被災地のどんなエリアからの情報か収集する　2点
・班をまたがる情報収集、展開を行い、より効率的な活動を行う　３点
・非被災地のお客さまの要望を把握し、広報的な情報発信を提案する　3点
</t>
    <rPh sb="1" eb="3">
      <t>ジョウホウ</t>
    </rPh>
    <rPh sb="3" eb="5">
      <t>シュウシュウ</t>
    </rPh>
    <rPh sb="5" eb="6">
      <t>リョク</t>
    </rPh>
    <rPh sb="9" eb="11">
      <t>ジシン</t>
    </rPh>
    <rPh sb="12" eb="14">
      <t>ハンダン</t>
    </rPh>
    <rPh sb="19" eb="21">
      <t>タイオウ</t>
    </rPh>
    <rPh sb="29" eb="30">
      <t>テン</t>
    </rPh>
    <rPh sb="34" eb="36">
      <t>キロク</t>
    </rPh>
    <rPh sb="37" eb="38">
      <t>ノコ</t>
    </rPh>
    <rPh sb="41" eb="42">
      <t>テン</t>
    </rPh>
    <rPh sb="44" eb="45">
      <t>ハン</t>
    </rPh>
    <rPh sb="45" eb="46">
      <t>ナイ</t>
    </rPh>
    <rPh sb="48" eb="50">
      <t>ジョウホウ</t>
    </rPh>
    <rPh sb="50" eb="52">
      <t>テンカイ</t>
    </rPh>
    <rPh sb="53" eb="55">
      <t>ジョウホウ</t>
    </rPh>
    <rPh sb="55" eb="57">
      <t>シュウシュウ</t>
    </rPh>
    <rPh sb="66" eb="68">
      <t>タイオウ</t>
    </rPh>
    <rPh sb="69" eb="70">
      <t>ツト</t>
    </rPh>
    <rPh sb="74" eb="75">
      <t>テン</t>
    </rPh>
    <rPh sb="77" eb="81">
      <t>ヒヒサイチ</t>
    </rPh>
    <rPh sb="103" eb="104">
      <t>ハン</t>
    </rPh>
    <rPh sb="109" eb="111">
      <t>ジョウホウ</t>
    </rPh>
    <rPh sb="111" eb="113">
      <t>シュウシュウ</t>
    </rPh>
    <rPh sb="114" eb="116">
      <t>テンカイ</t>
    </rPh>
    <rPh sb="117" eb="118">
      <t>オコナ</t>
    </rPh>
    <rPh sb="122" eb="125">
      <t>コウリツテキ</t>
    </rPh>
    <rPh sb="126" eb="128">
      <t>カツドウ</t>
    </rPh>
    <rPh sb="129" eb="130">
      <t>オコナ</t>
    </rPh>
    <rPh sb="133" eb="134">
      <t>テン</t>
    </rPh>
    <rPh sb="136" eb="140">
      <t>ヒヒサイチ</t>
    </rPh>
    <rPh sb="142" eb="143">
      <t>キャク</t>
    </rPh>
    <rPh sb="146" eb="148">
      <t>ヨウボウ</t>
    </rPh>
    <rPh sb="149" eb="151">
      <t>ハアク</t>
    </rPh>
    <rPh sb="153" eb="155">
      <t>コウホウ</t>
    </rPh>
    <rPh sb="155" eb="156">
      <t>テキ</t>
    </rPh>
    <rPh sb="157" eb="159">
      <t>ジョウホウ</t>
    </rPh>
    <rPh sb="159" eb="161">
      <t>ハッシン</t>
    </rPh>
    <rPh sb="162" eb="164">
      <t>テイアン</t>
    </rPh>
    <rPh sb="168" eb="169">
      <t>テン</t>
    </rPh>
    <phoneticPr fontId="18"/>
  </si>
  <si>
    <t>発災翌日12時
某都市銀行の営業担当者より、個別チャットでニューヨークとの通信が不通になったとの申告が入ってきました。提供している「国際専用線」に影響が出ている可能性があります。
あなたならどのような行動を行いますか？
何を使用し、何を行うか具体的に記述して下さい。
※評価対象コンピテンシー：情報収集力</t>
    <phoneticPr fontId="18"/>
  </si>
  <si>
    <t xml:space="preserve">≪情報収集力≫
・〇〇銀行さまの情報に関する対応だけの検討であれば　１点
・速やかに関係組織、他班への共有、連絡を行い影響サービス全体を考慮していれば　２点
・影響サービスだけに留まらず、故障が発生している要因や背景まで含めて情報収集する行動で　３点
</t>
    <rPh sb="11" eb="13">
      <t>ギンコウ</t>
    </rPh>
    <rPh sb="22" eb="24">
      <t>タイオウ</t>
    </rPh>
    <rPh sb="27" eb="29">
      <t>ケントウ</t>
    </rPh>
    <rPh sb="38" eb="39">
      <t>スミ</t>
    </rPh>
    <rPh sb="42" eb="46">
      <t>カンケイソシキ</t>
    </rPh>
    <rPh sb="47" eb="49">
      <t>タハン</t>
    </rPh>
    <rPh sb="51" eb="53">
      <t>キョウユウ</t>
    </rPh>
    <rPh sb="54" eb="56">
      <t>レンラク</t>
    </rPh>
    <rPh sb="57" eb="58">
      <t>オコナ</t>
    </rPh>
    <rPh sb="59" eb="61">
      <t>エイキョウ</t>
    </rPh>
    <rPh sb="65" eb="67">
      <t>ゼンタイ</t>
    </rPh>
    <rPh sb="68" eb="70">
      <t>コウリョ</t>
    </rPh>
    <rPh sb="77" eb="78">
      <t>テン</t>
    </rPh>
    <rPh sb="80" eb="82">
      <t>エイキョウ</t>
    </rPh>
    <rPh sb="89" eb="90">
      <t>トド</t>
    </rPh>
    <rPh sb="94" eb="96">
      <t>コショウ</t>
    </rPh>
    <rPh sb="97" eb="99">
      <t>ハッセイ</t>
    </rPh>
    <rPh sb="103" eb="105">
      <t>ヨウイン</t>
    </rPh>
    <rPh sb="106" eb="108">
      <t>ハイケイ</t>
    </rPh>
    <rPh sb="110" eb="111">
      <t>フク</t>
    </rPh>
    <rPh sb="113" eb="115">
      <t>ジョウホウ</t>
    </rPh>
    <rPh sb="115" eb="117">
      <t>シュウシュウ</t>
    </rPh>
    <rPh sb="119" eb="121">
      <t>コウドウ</t>
    </rPh>
    <rPh sb="124" eb="125">
      <t>テン</t>
    </rPh>
    <phoneticPr fontId="18"/>
  </si>
  <si>
    <t>発災翌日12時
営業担当者が、被災地の自治体から、携帯電話、タブレット、充電器を避難所に設置したいとの情報が、自班のTeams会議で報告されました。自治体からの要請についてどのように回答すべきか意見を求められています。
あなたならどのような行動を行いますか？
何を使用し、何を行うか具体的に記述して下さい。
※評価対象コンピテンシー：コミュニケーション力、計画力</t>
    <rPh sb="56" eb="57">
      <t>ジ</t>
    </rPh>
    <phoneticPr fontId="18"/>
  </si>
  <si>
    <t xml:space="preserve">≪計画力≫
・連絡のあった被災自治体からの要求に関わる対応を行う　１点
・その他の被災自治体にも同様の対応ができると考え行動する　２点
・被災自治体だけでなく、その他民需（法人）への展開も視野にいれた対応を実施　３点
</t>
    <rPh sb="1" eb="4">
      <t>ケイカクリョク</t>
    </rPh>
    <rPh sb="27" eb="29">
      <t>タイオウ</t>
    </rPh>
    <rPh sb="30" eb="31">
      <t>オコナ</t>
    </rPh>
    <rPh sb="48" eb="50">
      <t>ドウヨウ</t>
    </rPh>
    <rPh sb="51" eb="53">
      <t>タイオウ</t>
    </rPh>
    <rPh sb="58" eb="59">
      <t>カンガ</t>
    </rPh>
    <rPh sb="60" eb="62">
      <t>コウドウ</t>
    </rPh>
    <rPh sb="66" eb="67">
      <t>テン</t>
    </rPh>
    <rPh sb="69" eb="71">
      <t>ヒサイ</t>
    </rPh>
    <rPh sb="71" eb="74">
      <t>ジチタイ</t>
    </rPh>
    <rPh sb="82" eb="83">
      <t>タ</t>
    </rPh>
    <rPh sb="83" eb="85">
      <t>ミンジュ</t>
    </rPh>
    <rPh sb="86" eb="88">
      <t>ホウジン</t>
    </rPh>
    <rPh sb="91" eb="93">
      <t>テンカイ</t>
    </rPh>
    <rPh sb="94" eb="96">
      <t>シヤ</t>
    </rPh>
    <rPh sb="100" eb="102">
      <t>タイオウ</t>
    </rPh>
    <rPh sb="103" eb="105">
      <t>ジッシ</t>
    </rPh>
    <rPh sb="107" eb="108">
      <t>テン</t>
    </rPh>
    <phoneticPr fontId="18"/>
  </si>
  <si>
    <t>06設備</t>
    <rPh sb="2" eb="4">
      <t>セツビ</t>
    </rPh>
    <phoneticPr fontId="18"/>
  </si>
  <si>
    <t>発災当日21時
停電状況が確認できた時点で、誰にどのような指示を出しますか？
何を使用し、何を行うか具体的に記述して下さい。
※評価対象コンピテンシー：コミュニケーション力、計画力</t>
    <phoneticPr fontId="18"/>
  </si>
  <si>
    <t>1点：委託先（NTT-AE社）と連絡をとろうとしている
2点：対応策の検討に向けて、委託先（NTT-AE社）や班内メンバと双方向でコミュニケーションをとっている
3点：班長不在の中でも班内の体制を構築した上で、具体的な対応策の検討に向けて、委託先（NTT-AE社）や班内メンバと双方向でコミュニケーションをとっている</t>
    <rPh sb="3" eb="6">
      <t>イタクサキ</t>
    </rPh>
    <rPh sb="13" eb="14">
      <t>シャ</t>
    </rPh>
    <rPh sb="35" eb="37">
      <t>ケントウ</t>
    </rPh>
    <rPh sb="38" eb="39">
      <t>ム</t>
    </rPh>
    <rPh sb="105" eb="108">
      <t>グタイテキ</t>
    </rPh>
    <phoneticPr fontId="18"/>
  </si>
  <si>
    <t>1点：班内でできる対応を計画している
2点：通信サービス再開に向けた計画を具体的に計画している
3点：今後の状況悪化を想定しつつ、災害対応の全体像を想定しながら、通信サービス再開に向けて先手先手で対応を具体的に計画している（交通ルートの確立、燃料調達など）</t>
    <rPh sb="31" eb="32">
      <t>ム</t>
    </rPh>
    <rPh sb="37" eb="40">
      <t>グタイテキ</t>
    </rPh>
    <rPh sb="41" eb="43">
      <t>ケイカク</t>
    </rPh>
    <rPh sb="59" eb="61">
      <t>ソウテイ</t>
    </rPh>
    <rPh sb="81" eb="83">
      <t>ツウシン</t>
    </rPh>
    <rPh sb="87" eb="89">
      <t>サイカイ</t>
    </rPh>
    <rPh sb="90" eb="91">
      <t>ム</t>
    </rPh>
    <rPh sb="93" eb="95">
      <t>センテ</t>
    </rPh>
    <rPh sb="98" eb="100">
      <t>タイオウ</t>
    </rPh>
    <rPh sb="105" eb="107">
      <t>ケイカク</t>
    </rPh>
    <rPh sb="112" eb="114">
      <t>コウツウ</t>
    </rPh>
    <rPh sb="118" eb="120">
      <t>カクリツ</t>
    </rPh>
    <phoneticPr fontId="18"/>
  </si>
  <si>
    <t>発災翌日9時
現地保守員（RA＝Route Agent）から「被災箇所の現地調査を行いたいが、現地までの移動手段がない。」との相談がありました。
あなたならどのような行動を行いますか？
何を使用し、何を行うか具体的に記述して下さい。
※評価対象コンピテンシー：情報収集力、計画力</t>
    <phoneticPr fontId="18"/>
  </si>
  <si>
    <t>1点：自ら情報収集しようとしている
2点：指示をして移動手段確保の情報収集をしている
3点：班の代表として、移動手段や遠隔対応を含めた今後の対応に向け、班内外や委託先から情報収集している</t>
    <rPh sb="26" eb="30">
      <t>イドウシュダン</t>
    </rPh>
    <rPh sb="30" eb="32">
      <t>カクホ</t>
    </rPh>
    <rPh sb="54" eb="58">
      <t>イドウシュダン</t>
    </rPh>
    <rPh sb="59" eb="63">
      <t>エンカクタイオウ</t>
    </rPh>
    <rPh sb="64" eb="65">
      <t>フク</t>
    </rPh>
    <rPh sb="76" eb="79">
      <t>ハンナイガイ</t>
    </rPh>
    <rPh sb="80" eb="83">
      <t>イタクサキ</t>
    </rPh>
    <phoneticPr fontId="18"/>
  </si>
  <si>
    <t>1点：班内でできる対応を計画している
2点：班活動に必要な計画を立てている
3点：今後の状況を想定しつつ、災害対応の全体像を想定しながら、通信サービス再開に向けて先手先手で対応を具体的に計画している</t>
    <rPh sb="44" eb="46">
      <t>ジョウキョウ</t>
    </rPh>
    <phoneticPr fontId="18"/>
  </si>
  <si>
    <t>発災翌日12時
班内から「通信ビルの燃料枯渇が想定されています。」との報告がありました。
誰にどのような指示を出しますか？
※評価対象コンピテンシー：情報収集力、想像・先読み力、計画力</t>
    <rPh sb="10" eb="11">
      <t>ナイ</t>
    </rPh>
    <phoneticPr fontId="18"/>
  </si>
  <si>
    <t>1点：自ら情報収集しようとしている
2点：指示をしてNTT-AE社と連携して燃料供給に必要な情報収集をしている
3点：班の代表として、燃料供給や移動電源車手配等、今後の対応に向け班内外やNTT-AE社をはじめとする委託先から情報収集している</t>
    <rPh sb="32" eb="33">
      <t>シャ</t>
    </rPh>
    <rPh sb="34" eb="36">
      <t>レンケイ</t>
    </rPh>
    <rPh sb="38" eb="42">
      <t>ネンリョウキョウキュウ</t>
    </rPh>
    <rPh sb="43" eb="45">
      <t>ヒツヨウ</t>
    </rPh>
    <rPh sb="99" eb="100">
      <t>シャ</t>
    </rPh>
    <phoneticPr fontId="18"/>
  </si>
  <si>
    <t>1点：燃料枯渇が起きた事態を想定しようとしている
2点：燃料枯渇が長期化することを想定しつつ、今できる行動を具体的に検討している
3点：燃料枯渇が長期化することを想定しつつ、災害対応の全体プロセスを見据えて、対応策や事前対策等、必要な行動を具体的に検討している</t>
    <rPh sb="3" eb="7">
      <t>ネンリョウコカツ</t>
    </rPh>
    <rPh sb="8" eb="9">
      <t>オ</t>
    </rPh>
    <rPh sb="11" eb="13">
      <t>ジタイ</t>
    </rPh>
    <rPh sb="33" eb="36">
      <t>チョウキカ</t>
    </rPh>
    <rPh sb="47" eb="48">
      <t>イマ</t>
    </rPh>
    <rPh sb="51" eb="53">
      <t>コウドウ</t>
    </rPh>
    <phoneticPr fontId="18"/>
  </si>
  <si>
    <t>1点：班内でできる対応を計画している
2点：通信サービス断の回避に向けた計画を具体的に計画している
3点：今後の状況悪化（燃料枯渇）を想定しつつ、災害対応の全体像を想定しながら、通信サービス再開に向けて先手先手で対応を具体的に計画している（調達ルートの確立、燃料調達など）</t>
    <rPh sb="3" eb="5">
      <t>ハンナイ</t>
    </rPh>
    <rPh sb="61" eb="65">
      <t>ネンリョウコカツ</t>
    </rPh>
    <rPh sb="120" eb="122">
      <t>チョウタツ</t>
    </rPh>
    <phoneticPr fontId="18"/>
  </si>
  <si>
    <t>発災翌日15時
サービス班から大量のパス迂回依頼検討がありましたが、とても対応できないボリュームの内容です。
誰にどのような指示を出しますか？
※評価対象コンピテンシー：コミュニケーション力、情報分析力、計画力</t>
    <phoneticPr fontId="18"/>
  </si>
  <si>
    <t>1点：サービス班と連絡をとろうとしている
2点：課題解決に向けてサービス班と双方向でコミュニケーションをとっている
3点：計画を実行するために、サービス班や委託先などと双方向でコミュニケーションをとっている</t>
    <rPh sb="24" eb="28">
      <t>カダイカイケツ</t>
    </rPh>
    <rPh sb="29" eb="30">
      <t>ム</t>
    </rPh>
    <rPh sb="61" eb="63">
      <t>ケイカク</t>
    </rPh>
    <rPh sb="64" eb="66">
      <t>ジッコウ</t>
    </rPh>
    <rPh sb="78" eb="81">
      <t>イタクサキ</t>
    </rPh>
    <phoneticPr fontId="18"/>
  </si>
  <si>
    <t>1点：大量のパス迂回依頼の内容を確認している
2点：大量のパス迂回依頼の内容を分析し、サービスへの重大な影響を及ぼす可能性がある因子を特定し、対応の優先順位をつけている
3点：大量のパス迂回依頼の内容を分析し、サービスへの重大な影響を及ぼす可能性がある因子を特定した、対応の優先順位をつけた上で、災対本部など班間でのサポートを要請（注意喚起）する等の行動を起こしている</t>
    <rPh sb="13" eb="15">
      <t>ナイヨウ</t>
    </rPh>
    <rPh sb="39" eb="41">
      <t>ブンセキ</t>
    </rPh>
    <rPh sb="71" eb="73">
      <t>タイオウ</t>
    </rPh>
    <rPh sb="74" eb="78">
      <t>ユウセンジュンイ</t>
    </rPh>
    <phoneticPr fontId="18"/>
  </si>
  <si>
    <t>1点：班内でできる対応を計画している
2点：優先順位を設定し、復旧に向けた対応を具体的に計画している
3点：重要回線やトラフィックボリューム、必要物資の在庫量、2ルート残（通常3ルート）などから適切に優先順位を設定の上、復旧に向けた対応を具体的に計画している</t>
    <rPh sb="3" eb="5">
      <t>ハンナイ</t>
    </rPh>
    <rPh sb="22" eb="26">
      <t>ユウセンジュンイ</t>
    </rPh>
    <rPh sb="27" eb="29">
      <t>セッテイ</t>
    </rPh>
    <rPh sb="31" eb="33">
      <t>フッキュウ</t>
    </rPh>
    <rPh sb="34" eb="35">
      <t>ム</t>
    </rPh>
    <rPh sb="37" eb="39">
      <t>タイオウ</t>
    </rPh>
    <rPh sb="71" eb="75">
      <t>ヒツヨウブッシ</t>
    </rPh>
    <rPh sb="76" eb="79">
      <t>ザイコリョウ</t>
    </rPh>
    <rPh sb="84" eb="85">
      <t>ザン</t>
    </rPh>
    <rPh sb="86" eb="88">
      <t>ツウジョウ</t>
    </rPh>
    <rPh sb="97" eb="99">
      <t>テキセツ</t>
    </rPh>
    <rPh sb="100" eb="104">
      <t>ユウセンジュンイ</t>
    </rPh>
    <rPh sb="105" eb="107">
      <t>セッテイ</t>
    </rPh>
    <rPh sb="108" eb="109">
      <t>ウエ</t>
    </rPh>
    <rPh sb="110" eb="112">
      <t>フッキュウ</t>
    </rPh>
    <rPh sb="113" eb="114">
      <t>ム</t>
    </rPh>
    <phoneticPr fontId="18"/>
  </si>
  <si>
    <t>07資材</t>
    <rPh sb="2" eb="4">
      <t>シザイ</t>
    </rPh>
    <phoneticPr fontId="18"/>
  </si>
  <si>
    <t>発災当日21時
ロジスコの被災状況確認のため、ロジスコ責任者と電話やメール連絡をとっているが、通信NGで連絡がとれません。
あなたならどのような行動をとりますか？
何を使用し、何を行うか具体的に記述して下さい。
※評価対象コンピテンシー：コミュニケーション力、計画力</t>
    <phoneticPr fontId="18"/>
  </si>
  <si>
    <t>1点：ロジスコ責任者と連絡をとろうとしている
2点：ロジスコ責任者に加えて、責任者以外の連絡がつく担当者とのコミュニケーションを試みている
3点：ロジスコに加えて、ドコモ等関連会社とのコミュニケーションを試みている</t>
    <rPh sb="7" eb="9">
      <t>セキニン</t>
    </rPh>
    <rPh sb="9" eb="10">
      <t>シャ</t>
    </rPh>
    <rPh sb="30" eb="33">
      <t>セキニンシャ</t>
    </rPh>
    <rPh sb="34" eb="35">
      <t>クワ</t>
    </rPh>
    <rPh sb="38" eb="41">
      <t>セキニンシャ</t>
    </rPh>
    <rPh sb="41" eb="43">
      <t>イガイ</t>
    </rPh>
    <rPh sb="44" eb="46">
      <t>レンラク</t>
    </rPh>
    <rPh sb="49" eb="52">
      <t>タントウシャ</t>
    </rPh>
    <rPh sb="64" eb="65">
      <t>ココロ</t>
    </rPh>
    <rPh sb="78" eb="79">
      <t>クワ</t>
    </rPh>
    <rPh sb="85" eb="86">
      <t>トウ</t>
    </rPh>
    <rPh sb="86" eb="90">
      <t>カンレンガイシャ</t>
    </rPh>
    <rPh sb="102" eb="103">
      <t>ココロ</t>
    </rPh>
    <phoneticPr fontId="18"/>
  </si>
  <si>
    <t>1点：班内でできる対応を計画している
2点：指示をして責任者以外との接触やロジスコ周辺の被災状況確認、ドコモ社連携など、具体的な対応を計画している
3点：指示をして責任者以外との接触やロジスコ周辺の被災状況確認、ドコモ社連携などに加えて、危機管理DBで状況を共有する計画を立てている</t>
    <rPh sb="3" eb="5">
      <t>ハンナイ</t>
    </rPh>
    <rPh sb="22" eb="24">
      <t>シジ</t>
    </rPh>
    <rPh sb="27" eb="30">
      <t>セキニンシャ</t>
    </rPh>
    <rPh sb="30" eb="32">
      <t>イガイ</t>
    </rPh>
    <rPh sb="34" eb="36">
      <t>セッショク</t>
    </rPh>
    <rPh sb="41" eb="43">
      <t>シュウヘン</t>
    </rPh>
    <rPh sb="54" eb="55">
      <t>シャ</t>
    </rPh>
    <rPh sb="55" eb="57">
      <t>レンケイ</t>
    </rPh>
    <rPh sb="60" eb="63">
      <t>グタイテキ</t>
    </rPh>
    <rPh sb="64" eb="66">
      <t>タイオウ</t>
    </rPh>
    <rPh sb="96" eb="98">
      <t>シュウヘン</t>
    </rPh>
    <rPh sb="109" eb="110">
      <t>シャ</t>
    </rPh>
    <rPh sb="110" eb="112">
      <t>レンケイ</t>
    </rPh>
    <rPh sb="115" eb="116">
      <t>クワ</t>
    </rPh>
    <rPh sb="119" eb="123">
      <t>キキカンリ</t>
    </rPh>
    <rPh sb="126" eb="128">
      <t>ジョウキョウ</t>
    </rPh>
    <rPh sb="129" eb="131">
      <t>キョウユウ</t>
    </rPh>
    <rPh sb="136" eb="137">
      <t>タ</t>
    </rPh>
    <phoneticPr fontId="18"/>
  </si>
  <si>
    <t>発災翌日9時
NTTドコモビジネスと取引のある主要メーカ・サプライヤの被災状況を把握したいです。
あなたならどのような行動をとりますか？
何を使用し、何を行うか具体的に記述して下さい。
※評価対象コンピテンシー：コミュニケーション力、情報収集力</t>
    <phoneticPr fontId="18"/>
  </si>
  <si>
    <t>1点：主要メーカ・サプライヤと連絡をとろうとしている
2点：班内で役割分担をして、主要メーカ・サプライヤとのコミュニケーションを試みている
3点：現地の被災状況を考慮して、過度な催促を避けるなど相手への配慮を意識しつつ、班内で役割分担をして、主要メーカ・サプライヤとのコミュニケーションを試みている</t>
    <rPh sb="30" eb="32">
      <t>ハンナイ</t>
    </rPh>
    <rPh sb="33" eb="37">
      <t>ヤクワリブンタン</t>
    </rPh>
    <rPh sb="73" eb="75">
      <t>ゲンチ</t>
    </rPh>
    <rPh sb="76" eb="80">
      <t>ヒサイジョウキョウ</t>
    </rPh>
    <rPh sb="81" eb="83">
      <t>コウリョ</t>
    </rPh>
    <rPh sb="86" eb="88">
      <t>カド</t>
    </rPh>
    <rPh sb="89" eb="91">
      <t>サイソク</t>
    </rPh>
    <rPh sb="92" eb="93">
      <t>サ</t>
    </rPh>
    <rPh sb="97" eb="99">
      <t>アイテ</t>
    </rPh>
    <rPh sb="101" eb="103">
      <t>ハイリョ</t>
    </rPh>
    <rPh sb="104" eb="106">
      <t>イシキ</t>
    </rPh>
    <phoneticPr fontId="18"/>
  </si>
  <si>
    <t>1点：自ら情報収集しようとしている
2点：指示をして主要メーカ・サプライヤの被災状況を情報収集している
3点：連絡がつかない場合は持ち株会社やNTTグループ会社などからの情報提供を依頼している</t>
    <rPh sb="55" eb="57">
      <t>レンラク</t>
    </rPh>
    <rPh sb="62" eb="64">
      <t>バアイ</t>
    </rPh>
    <rPh sb="65" eb="66">
      <t>モ</t>
    </rPh>
    <rPh sb="67" eb="70">
      <t>カブガイシャ</t>
    </rPh>
    <rPh sb="78" eb="80">
      <t>ガイシャ</t>
    </rPh>
    <rPh sb="85" eb="89">
      <t>ジョウホウテイキョウ</t>
    </rPh>
    <rPh sb="90" eb="92">
      <t>イライ</t>
    </rPh>
    <phoneticPr fontId="18"/>
  </si>
  <si>
    <t>発災翌日12時
以下ような緊急連絡が混在しています。
・A部「被災地の応急復旧部材をすぐに手配したい」
・B部「非被災地のSO部材の確保は問題ないか」
・サプライヤC「倉庫が被災し、すぐに発送できる状況ではない」
・サプライヤD「メーカから納期が不透明との情報が入った」
必要な部材を現場へ適切に供給するために、追加で誰とどのようなやり取りが必要かをまとめて下さい。
※評価対象コンピテンシー：情報分析力、計画力</t>
    <rPh sb="9" eb="11">
      <t>イカ</t>
    </rPh>
    <rPh sb="31" eb="32">
      <t>ブ</t>
    </rPh>
    <rPh sb="33" eb="36">
      <t>ヒサイチ</t>
    </rPh>
    <rPh sb="37" eb="43">
      <t>オウキュウフッキュウブザイ</t>
    </rPh>
    <rPh sb="47" eb="49">
      <t>テハイ</t>
    </rPh>
    <rPh sb="56" eb="57">
      <t>ブ</t>
    </rPh>
    <rPh sb="58" eb="59">
      <t>ヒ</t>
    </rPh>
    <rPh sb="59" eb="62">
      <t>ヒサイチ</t>
    </rPh>
    <rPh sb="65" eb="67">
      <t>ブザイ</t>
    </rPh>
    <rPh sb="68" eb="70">
      <t>カクホ</t>
    </rPh>
    <rPh sb="71" eb="73">
      <t>モンダイ</t>
    </rPh>
    <rPh sb="86" eb="88">
      <t>ソウコ</t>
    </rPh>
    <rPh sb="89" eb="91">
      <t>ヒサイ</t>
    </rPh>
    <rPh sb="96" eb="98">
      <t>ハッソウ</t>
    </rPh>
    <rPh sb="101" eb="103">
      <t>ジョウキョウ</t>
    </rPh>
    <rPh sb="122" eb="124">
      <t>ノウキ</t>
    </rPh>
    <rPh sb="125" eb="128">
      <t>フトウメイ</t>
    </rPh>
    <rPh sb="130" eb="132">
      <t>ジョウホウ</t>
    </rPh>
    <rPh sb="133" eb="134">
      <t>ハイ</t>
    </rPh>
    <rPh sb="139" eb="141">
      <t>ヒツヨウ</t>
    </rPh>
    <rPh sb="142" eb="144">
      <t>ブザイ</t>
    </rPh>
    <rPh sb="145" eb="147">
      <t>ゲンバ</t>
    </rPh>
    <rPh sb="148" eb="150">
      <t>テキセツ</t>
    </rPh>
    <rPh sb="151" eb="153">
      <t>キョウキュウ</t>
    </rPh>
    <rPh sb="159" eb="161">
      <t>ツイカ</t>
    </rPh>
    <rPh sb="162" eb="163">
      <t>ダレ</t>
    </rPh>
    <rPh sb="171" eb="172">
      <t>ト</t>
    </rPh>
    <rPh sb="174" eb="176">
      <t>ヒツヨウ</t>
    </rPh>
    <rPh sb="182" eb="183">
      <t>クダ</t>
    </rPh>
    <rPh sb="203" eb="205">
      <t>ブンセキ</t>
    </rPh>
    <phoneticPr fontId="18"/>
  </si>
  <si>
    <t xml:space="preserve">1点：下記の観点が１つ含まれている
2点：下記の観点が2以上含まれているが、内容が不十分
3点：下記の観点が3つ以上含まれており解答例に近い、もしくは災害等対策規程を理解して記載されている
＜情報分析観点＞
1. 社内・拠点在庫の即時可用性
　倉庫・支社・他エリア在庫の所在と数量「今すぐ動かせるか」が最重要
2. サプライヤの被災状況と出荷可否
　生産停止・倉庫被災・人員不足の有無、納期情報の信頼度
3. 代替調達ルートの有無
　グループ内融通、他社・緊急契約の可能性、規程上の即応調達が可能か？
（翌日は「届くか」2日後以降は「発注できるか」を基準に判断）
4. 輸送ルート・手段の有無
　部材の通常輸送手段の利用可否の確認と分析、利用不可時の代替ルートならびに手段の確認と分析
＜災害等対策規程＞
（災害対策用資機材の輸送）
第３３条 災害等が発生し、又は発生するおそれがある場合において、災害対策用機器、資材及び物資等の輸送を円滑に行うため、あらかじめ、輸送ルート、確保すべき車両、船舶、ヘリコプタ等の種類及び数量等に関する輸送計画を定めておくとともに、第２８条（社外機関との連携体制等の構築）２号及び３号
に基づく、社外機関等の応援又は協力も含めた輸送力の確保に努める。
２ 災害対策用資機材等の仮置場及び臨時ヘリポート等について、非常事態下の借用交渉の難航が予想されるため、あらかじめ公共用地等の候補地について、地方防災会議等の協力を得て、非常事態下の用地確保の円滑化を図る。_x000B_（広域災害等時における応援計画の作成）
第３６条 危機管理室は、関連組織及び社外機関等との協調、協力により、大都市或いは広範囲な地域において、甚大かつ広域な災害等が発生した場合（被災規模想定による）に、グループ会社等の稼働を含めた全国からの動員、災害対策用機器、復旧資材及び物資等の集結等を図り、災害等応急復旧及び
災害等復旧を迅速、かつ効果的に行うことができるように、次の事項について整備し、維持を図る。
(１) 要員数及び資材、物資等の所要量
(２) 災害対策用機器の機種及び所要量
(３) 要員、資機材の所要量確保と輸送方法及び経路
(４) 応援者等の復旧拠点の構築及び運営
(５) 応援要請を行う場合或いは受ける場合の具体的方法
</t>
    <rPh sb="1" eb="2">
      <t>テン</t>
    </rPh>
    <rPh sb="3" eb="5">
      <t>カキ</t>
    </rPh>
    <rPh sb="6" eb="8">
      <t>カンテン</t>
    </rPh>
    <rPh sb="11" eb="12">
      <t>フク</t>
    </rPh>
    <rPh sb="19" eb="20">
      <t>テン</t>
    </rPh>
    <rPh sb="21" eb="23">
      <t>カキ</t>
    </rPh>
    <rPh sb="24" eb="26">
      <t>カンテン</t>
    </rPh>
    <rPh sb="28" eb="30">
      <t>イジョウ</t>
    </rPh>
    <rPh sb="30" eb="31">
      <t>フク</t>
    </rPh>
    <rPh sb="38" eb="40">
      <t>ナイヨウ</t>
    </rPh>
    <rPh sb="41" eb="44">
      <t>フジュウブン</t>
    </rPh>
    <rPh sb="46" eb="47">
      <t>テン</t>
    </rPh>
    <rPh sb="56" eb="58">
      <t>イジョウ</t>
    </rPh>
    <rPh sb="64" eb="67">
      <t>カイトウレイ</t>
    </rPh>
    <rPh sb="68" eb="69">
      <t>チカ</t>
    </rPh>
    <rPh sb="83" eb="85">
      <t>リカイ</t>
    </rPh>
    <rPh sb="87" eb="89">
      <t>キサイ</t>
    </rPh>
    <phoneticPr fontId="18"/>
  </si>
  <si>
    <t>1点：班内でできる対応を計画している
2点：下記の観点が3つ含まれているが内容が不十分な計画を立てている
3点：下記の観点が3つ以上含まれており、内容も十分に記載されている
①いつまでに、どの部材が、どれくらい必要か？（要求分析）
　問題文中A,Bから要求分析
②通常の調達先からの調達可能な数量の把握（現状分析）
　問題文中C,D、社内・拠点（情報分析観点2）から現状分析
③復旧見込みと代替検討（供給量の算定）
　問題文中C,D、社内・拠点（情報分析観点1,3）から供給量の算定
④輸送手段の検討（輸送可否の分析）
　問題文中A,B、社内・拠点（情報分析観点1,3,4）から輸送先の確認と分析</t>
    <rPh sb="3" eb="5">
      <t>ハンナイ</t>
    </rPh>
    <rPh sb="22" eb="24">
      <t>カキ</t>
    </rPh>
    <rPh sb="25" eb="27">
      <t>カンテン</t>
    </rPh>
    <rPh sb="30" eb="31">
      <t>フク</t>
    </rPh>
    <rPh sb="37" eb="39">
      <t>ナイヨウ</t>
    </rPh>
    <rPh sb="40" eb="43">
      <t>フジュウブン</t>
    </rPh>
    <rPh sb="47" eb="48">
      <t>タ</t>
    </rPh>
    <rPh sb="64" eb="66">
      <t>イジョウ</t>
    </rPh>
    <rPh sb="73" eb="75">
      <t>ナイヨウ</t>
    </rPh>
    <rPh sb="76" eb="78">
      <t>ジュウブン</t>
    </rPh>
    <rPh sb="118" eb="122">
      <t>モンダイブンチュウ</t>
    </rPh>
    <rPh sb="127" eb="131">
      <t>ヨウキュウブンセキ</t>
    </rPh>
    <rPh sb="174" eb="180">
      <t>ジョウホウブンセキカンテン</t>
    </rPh>
    <rPh sb="184" eb="188">
      <t>ゲンジョウブンセキ</t>
    </rPh>
    <phoneticPr fontId="18"/>
  </si>
  <si>
    <t>発災翌日15時
総務厚生班から水食糧の物資調達について輸送手段がない旨がTeamsチャットで相談がありました。
今後の体制に向け、あなたならどうしますか？
何を使用し、何を行うか具体的に記述して下さい。
※評価対象コンピテンシー：情報収集力、想像・先読み力、計画力</t>
    <phoneticPr fontId="18"/>
  </si>
  <si>
    <t>1点：自ら情報収集しようとしている
2点：指示をして班内外から水食糧の物資調達に必要な情報収集を行っている
3点：水食糧の物資調達に向けて、社内にとどまらずNTTグループ連携も含めて対応可能か情報収集を行っている</t>
    <rPh sb="26" eb="29">
      <t>ハンナイガイ</t>
    </rPh>
    <rPh sb="31" eb="34">
      <t>ミズショクリョウ</t>
    </rPh>
    <rPh sb="35" eb="39">
      <t>ブッシチョウタツ</t>
    </rPh>
    <rPh sb="40" eb="42">
      <t>ヒツヨウ</t>
    </rPh>
    <rPh sb="48" eb="49">
      <t>オコナ</t>
    </rPh>
    <rPh sb="66" eb="67">
      <t>ム</t>
    </rPh>
    <rPh sb="70" eb="72">
      <t>シャナイ</t>
    </rPh>
    <rPh sb="85" eb="87">
      <t>レンケイ</t>
    </rPh>
    <rPh sb="88" eb="89">
      <t>フク</t>
    </rPh>
    <rPh sb="91" eb="95">
      <t>タイオウカノウ</t>
    </rPh>
    <rPh sb="98" eb="100">
      <t>シュウシュウ</t>
    </rPh>
    <rPh sb="101" eb="102">
      <t>オコナ</t>
    </rPh>
    <phoneticPr fontId="18"/>
  </si>
  <si>
    <t>1点：次に起こる事を想定しようとしている
2点：次に起こる事を想定しつつ、必要な行動（代替手段の想定）を具体的に指示、検討している
3点：食糧不足の状況や代替手段の想定しながら、現状や今後の影響を社内に報告しようとしている</t>
    <rPh sb="43" eb="47">
      <t>ダイタイシュダン</t>
    </rPh>
    <rPh sb="48" eb="50">
      <t>ソウテイ</t>
    </rPh>
    <rPh sb="56" eb="58">
      <t>シジ</t>
    </rPh>
    <rPh sb="69" eb="73">
      <t>ショクリョウブソク</t>
    </rPh>
    <rPh sb="74" eb="76">
      <t>ジョウキョウ</t>
    </rPh>
    <rPh sb="77" eb="81">
      <t>ダイタイシュダン</t>
    </rPh>
    <rPh sb="89" eb="91">
      <t>ゲンジョウ</t>
    </rPh>
    <rPh sb="92" eb="94">
      <t>コンゴ</t>
    </rPh>
    <rPh sb="95" eb="97">
      <t>エイキョウ</t>
    </rPh>
    <rPh sb="98" eb="100">
      <t>シャナイ</t>
    </rPh>
    <rPh sb="101" eb="103">
      <t>ホウコク</t>
    </rPh>
    <phoneticPr fontId="18"/>
  </si>
  <si>
    <t>1点：班内でできる対応を計画している
2点：水食糧が不足する部門や社内影響を考慮して、社内でできる対応の計画を立てている
3点：今後の状況想定に基づいて、社内にとどまらずNTTグループ連携も含めた具体的な対応計画を立てている</t>
    <rPh sb="3" eb="5">
      <t>ハンナイ</t>
    </rPh>
    <rPh sb="22" eb="25">
      <t>ミズショクリョウ</t>
    </rPh>
    <rPh sb="26" eb="28">
      <t>フソク</t>
    </rPh>
    <rPh sb="30" eb="32">
      <t>ブモン</t>
    </rPh>
    <rPh sb="38" eb="40">
      <t>コウリョ</t>
    </rPh>
    <rPh sb="43" eb="45">
      <t>シャナイ</t>
    </rPh>
    <rPh sb="49" eb="51">
      <t>タイオウ</t>
    </rPh>
    <rPh sb="69" eb="71">
      <t>ソウテイ</t>
    </rPh>
    <rPh sb="72" eb="73">
      <t>モト</t>
    </rPh>
    <rPh sb="102" eb="104">
      <t>タイオウ</t>
    </rPh>
    <phoneticPr fontId="18"/>
  </si>
  <si>
    <t>08セキュリティ</t>
    <phoneticPr fontId="18"/>
  </si>
  <si>
    <t>発災当日21時
数名の社員より、地震の混乱に乗じた不審メールを受信した旨の発言が全社情報共有の会議で共有されました。
あなたならどのような行動をとりますか？
何を使用し、何を行うか具体的に記述して下さい。
※評価対象コンピテンシー：情報収集力、計画力</t>
    <rPh sb="43" eb="45">
      <t>ジョウホウ</t>
    </rPh>
    <rPh sb="48" eb="50">
      <t>カイギ</t>
    </rPh>
    <rPh sb="51" eb="53">
      <t>キョウユウ</t>
    </rPh>
    <phoneticPr fontId="18"/>
  </si>
  <si>
    <t>1点：自ら情報収集しようとしている
2点：指示をして班内で類似情報の収集を行っている
3点：全社周知を行い、類似情報の収集を行っている</t>
    <rPh sb="29" eb="31">
      <t>ルイジ</t>
    </rPh>
    <rPh sb="31" eb="33">
      <t>ジョウホウ</t>
    </rPh>
    <rPh sb="37" eb="38">
      <t>オコナ</t>
    </rPh>
    <rPh sb="46" eb="48">
      <t>ゼンシャ</t>
    </rPh>
    <rPh sb="48" eb="50">
      <t>シュウチ</t>
    </rPh>
    <rPh sb="51" eb="52">
      <t>オコナ</t>
    </rPh>
    <phoneticPr fontId="18"/>
  </si>
  <si>
    <t>1点：班内でできる対応を計画している
2点：収集情報や類似事象の発生の可能性を踏まえた上での対応を計画している
3点：収集情報や類似事象の発生の可能性を踏まえた上での対応を計画すると共に、災害対策本部などで注意喚起の行動を起こしている</t>
    <rPh sb="19" eb="23">
      <t>シュウシュウジョウホウ</t>
    </rPh>
    <rPh sb="24" eb="28">
      <t>ルイジジショウ</t>
    </rPh>
    <rPh sb="29" eb="31">
      <t>ハッセイ</t>
    </rPh>
    <rPh sb="32" eb="35">
      <t>カノウセイ</t>
    </rPh>
    <rPh sb="36" eb="37">
      <t>フ</t>
    </rPh>
    <rPh sb="40" eb="41">
      <t>ウエ</t>
    </rPh>
    <rPh sb="91" eb="92">
      <t>トモ</t>
    </rPh>
    <rPh sb="94" eb="96">
      <t>サイガイ</t>
    </rPh>
    <rPh sb="96" eb="98">
      <t>タイサク</t>
    </rPh>
    <rPh sb="103" eb="107">
      <t>チュウイカンキ</t>
    </rPh>
    <phoneticPr fontId="18"/>
  </si>
  <si>
    <t>発災当日22時
M&amp;S部より、地震によりISMPがシステム停止したとの連絡がありました。復旧するまでに一週間以上かかる見込みとのことです。
あなたならどのような行動をとりますか？
何を使用し、何を行うか具体的に記述して下さい。
※評価対象コンピテンシー：想像・先読み力、計画力</t>
    <phoneticPr fontId="18"/>
  </si>
  <si>
    <t>1点：サービス影響や業務影響の発生を想像しようとしている
2点：サービス影響や業務影響の発生を想像しつつ、必要な行動を具体的に検討している
3点：サービス影響や業務影響の代替手段による復旧、改善を想定しながら、災害対応の全体プロセスを見据えながら、事前対策等や必要な行動を具体的に検討している</t>
    <phoneticPr fontId="18"/>
  </si>
  <si>
    <t>1点：班内でできる対応を計画している
2点：収集情報や今後の展開を想像した上で代替手段などの対応を計画している
3点：収集情報や類似事象の発生の可能性を踏まえた上で代替手段の対応を計画するとともに、災害対策本部会議の場などで班間連携をとった行動を起こしている</t>
    <rPh sb="27" eb="29">
      <t>コンゴ</t>
    </rPh>
    <rPh sb="30" eb="32">
      <t>テンカイ</t>
    </rPh>
    <rPh sb="33" eb="35">
      <t>ソウゾウ</t>
    </rPh>
    <rPh sb="37" eb="38">
      <t>ウエ</t>
    </rPh>
    <rPh sb="39" eb="43">
      <t>ダイタイシュダン</t>
    </rPh>
    <phoneticPr fontId="18"/>
  </si>
  <si>
    <t>発災翌日12時
持株会社より、「国内のNTTグループ会社において、震災の混乱を利用した、サービス公式HPに対するDDoS攻撃が複数発生中」との連絡が入りました。
あなたならどのような行動をとりますか？
何を使用し、何を行うか具体的に記述して下さい。
※評価対象コンピテンシー：計画力</t>
    <phoneticPr fontId="18"/>
  </si>
  <si>
    <t>1点：DDoS攻撃に対する初動対応（事実確認）を計画している
2点：DDoS攻撃に対する初動対応（事実確認）を早期に実施するとともに、DDoS攻撃に対する対応を計画している
3点：DDoS攻撃に対する初動対応（事実確認）対応を早期に実施するとともに、類似事象や影響を調査と、社外向けの対応を意識した上で、DDoS攻撃への対応を計画している</t>
    <rPh sb="55" eb="57">
      <t>ソウキ</t>
    </rPh>
    <rPh sb="58" eb="60">
      <t>ジッシ</t>
    </rPh>
    <rPh sb="77" eb="79">
      <t>タイオウ</t>
    </rPh>
    <rPh sb="137" eb="139">
      <t>シャガイ</t>
    </rPh>
    <rPh sb="139" eb="140">
      <t>ム</t>
    </rPh>
    <rPh sb="142" eb="144">
      <t>タイオウ</t>
    </rPh>
    <rPh sb="145" eb="147">
      <t>イシキ</t>
    </rPh>
    <rPh sb="149" eb="150">
      <t>ウエ</t>
    </rPh>
    <phoneticPr fontId="18"/>
  </si>
  <si>
    <t>発災翌日12時
社員から震災の避難時に会社PC（又はセキュアモバイル対応の会社スマートフォン）を紛失したとの連絡が入りました。
あなたならどのような行動をとりますか？
何を使用し、何を行うか具体的に記述して下さい。
※評価対象コンピテンシー：情報収集力、想像・先読み力、計画力</t>
    <rPh sb="20" eb="22">
      <t>カイシャ</t>
    </rPh>
    <phoneticPr fontId="18"/>
  </si>
  <si>
    <t>1点：自ら紛失状況や該当データの確認しようとしている
2点：班内で事実確認できる体制を整え、早期に情報収集を行っている
3点：班内で事実確認できる体制を整え、PC等以外の紛失有無やPCの場合は紛失時～ワイプ処理までの利用履歴を情報収集している</t>
    <rPh sb="49" eb="53">
      <t>ジョウホウシュウシュウ</t>
    </rPh>
    <rPh sb="54" eb="55">
      <t>オコナ</t>
    </rPh>
    <rPh sb="87" eb="89">
      <t>ウム</t>
    </rPh>
    <phoneticPr fontId="18"/>
  </si>
  <si>
    <t>1点：次に起こる事を想定しようとしている
2点：次に起こる事を想定しつつ、必要な行動を計画している
3点：紛失後の影響や事態を想定しながら、事態の収束までの全体プロセスを見据えて、次に起こる事を想定しつつ、必要な行動やや予防策を具体的に計画している</t>
    <rPh sb="43" eb="45">
      <t>ケイカク</t>
    </rPh>
    <rPh sb="53" eb="56">
      <t>フンシツゴ</t>
    </rPh>
    <rPh sb="57" eb="59">
      <t>エイキョウ</t>
    </rPh>
    <rPh sb="60" eb="62">
      <t>ジタイ</t>
    </rPh>
    <rPh sb="70" eb="72">
      <t>ジタイ</t>
    </rPh>
    <rPh sb="73" eb="75">
      <t>シュウソク</t>
    </rPh>
    <rPh sb="106" eb="108">
      <t>コウドウ</t>
    </rPh>
    <rPh sb="110" eb="113">
      <t>ヨボウサク</t>
    </rPh>
    <rPh sb="118" eb="120">
      <t>ケイカク</t>
    </rPh>
    <phoneticPr fontId="18"/>
  </si>
  <si>
    <t>1点：初動対応（事実確認）を計画している
2点：班内で役割分担をした上で、初動対応（事実確認）や紛失対応を計画している
3点：班内で役割分担をした上で、初動対応（事実確認）や紛失対応に加えて、災害対策本部などでの注意喚起など再発防止の行動を起こしている</t>
    <rPh sb="24" eb="26">
      <t>ハンナイ</t>
    </rPh>
    <rPh sb="27" eb="31">
      <t>ヤクワリブンタン</t>
    </rPh>
    <rPh sb="34" eb="35">
      <t>ウエ</t>
    </rPh>
    <rPh sb="92" eb="93">
      <t>クワ</t>
    </rPh>
    <rPh sb="112" eb="116">
      <t>サイハツボウシ</t>
    </rPh>
    <phoneticPr fontId="18"/>
  </si>
  <si>
    <t>09社内システム</t>
    <phoneticPr fontId="18"/>
  </si>
  <si>
    <t>発災当日22時
中央第二光（新立川別～新宿別）ケーブル断に伴う、影響回線リストが全社情報共有の会議で共有されました。
あなたならどのような行動をとりますか？
何を使用し、何を行うか具体的に記述して下さい。
※評価対象コンピテンシー：情報収集力、情報分析力</t>
  </si>
  <si>
    <t>≪情報収集力≫
・なんとか自分自身で情報収集（断が影響にHitするか）を行う行動　１点
・身近で活動可能な班内メンバを統制して行動に移す　２点
　活動可能なメンバを把握して、役割分担を提案している
・班間でのサポートを影響周知、早期復旧要請する等の行動を起こす　３点</t>
    <rPh sb="1" eb="5">
      <t>ジョウホウシュウシュウ</t>
    </rPh>
    <rPh sb="5" eb="6">
      <t>リョク</t>
    </rPh>
    <rPh sb="23" eb="24">
      <t>ダン</t>
    </rPh>
    <rPh sb="25" eb="27">
      <t>エイキョウ</t>
    </rPh>
    <rPh sb="45" eb="47">
      <t>ミヂカ</t>
    </rPh>
    <rPh sb="48" eb="50">
      <t>カツドウ</t>
    </rPh>
    <rPh sb="50" eb="52">
      <t>カノウ</t>
    </rPh>
    <rPh sb="70" eb="71">
      <t>テン</t>
    </rPh>
    <rPh sb="73" eb="77">
      <t>カツドウカノウ</t>
    </rPh>
    <rPh sb="82" eb="84">
      <t>ハアク</t>
    </rPh>
    <rPh sb="87" eb="91">
      <t>ヤクワリブンタン</t>
    </rPh>
    <rPh sb="92" eb="94">
      <t>テイアン</t>
    </rPh>
    <rPh sb="109" eb="111">
      <t>エイキョウ</t>
    </rPh>
    <rPh sb="111" eb="113">
      <t>シュウチ</t>
    </rPh>
    <rPh sb="114" eb="118">
      <t>ソウキフッキュウ</t>
    </rPh>
    <rPh sb="132" eb="133">
      <t>テン</t>
    </rPh>
    <phoneticPr fontId="18"/>
  </si>
  <si>
    <t xml:space="preserve">≪情報分析力≫　※システムが壊れているので、回線は直すしかないよね。
・なんとか自分自身で情報分析を行う行動　１点
・社内システムへの影響把握　1点
・班内メンバを通して事実の確認を行う　２点
　活動可能なメンバを把握して、役割分担を提案している
・社内システムへの影響把握＋業務影響度の把握　2点
・災対本部など、班間でのサポートを要請（注意喚起）する等の行動を起こす　３点
・社内システムへの影響把握＋業務影響度の把握＋復旧優先順位の把握　3点
</t>
    <rPh sb="14" eb="15">
      <t>コワ</t>
    </rPh>
    <rPh sb="22" eb="24">
      <t>カイセン</t>
    </rPh>
    <rPh sb="25" eb="26">
      <t>ナオ</t>
    </rPh>
    <rPh sb="59" eb="61">
      <t>シャナイ</t>
    </rPh>
    <rPh sb="67" eb="71">
      <t>エイキョウハアク</t>
    </rPh>
    <rPh sb="73" eb="74">
      <t>テン</t>
    </rPh>
    <rPh sb="85" eb="87">
      <t>ジジツ</t>
    </rPh>
    <rPh sb="212" eb="214">
      <t>フッキュウ</t>
    </rPh>
    <rPh sb="214" eb="218">
      <t>ユウセンジュンイ</t>
    </rPh>
    <rPh sb="219" eb="221">
      <t>ハアク</t>
    </rPh>
    <rPh sb="223" eb="224">
      <t>テン</t>
    </rPh>
    <phoneticPr fontId="18"/>
  </si>
  <si>
    <t>発災当日21時
唐ヶ崎、白鬚、千葉港、TRC、一ツ橋ビル停電発生。電力・空調設備は異常なし（エンジン運転中）と、全社情報共有の会議で共有されました。
あなたならどのような行動をとりますか？
何を使用し、何を行うか具体的に記述して下さい。
※評価対象コンピテンシー：情報収集力、計画力</t>
    <phoneticPr fontId="18"/>
  </si>
  <si>
    <t>≪情報収集力≫
・発生している設備影響を自班内へ展開　１点
・設備影響から想定される直接的なサービス影響と、社内への影響を確認・情報収集と、自班内への展開　２点
・設備影響から派生する、間接的なサービス影響や、社内への影響、その他影響を想像して行動に移せる　3点
　（中継NWの片系状態や、信頼性の低下　等）</t>
    <phoneticPr fontId="18"/>
  </si>
  <si>
    <t>≪計画力≫　※これ計画力？難しい。
・自分自身でできる対応を検討する記載　１点
・周囲の班員でできる対応を検討する記載　２点
・既存ルールの有無に限らず柔軟に他組織への協力依頼を行い、対応を計画する記載があれば　３点</t>
    <rPh sb="9" eb="12">
      <t>ケイカクリョク</t>
    </rPh>
    <rPh sb="13" eb="14">
      <t>ムズカ</t>
    </rPh>
    <phoneticPr fontId="18"/>
  </si>
  <si>
    <t>発災当日21時
担当しているシステムが稼働しているクラウド基盤に接続できないという事象が確認できており、復旧のめどはたっていない状況です。
あなたならどのような行動をとりますか？
何を使用し、何を行うか具体的に記述して下さい。
※評価対象コンピテンシー：情報収集力、計画力</t>
  </si>
  <si>
    <t>≪情報収集力≫
・発生している設備影響を自班内へ展開　１点
・設備影響から想定される直接的なサービス影響と、社内への影響を確認・情報収集と、自班内への展開　２点
・設備影響から派生する、間接的なサービス影響や、社内への影響、その他影響を想像して行動に移せる　3点</t>
    <phoneticPr fontId="18"/>
  </si>
  <si>
    <t>≪計画力≫
・班内に閉じシステム復旧だけに固執した行動　1点
・社内影響、システム利用部門を考慮した行動。班内に閉じた復旧対応　2点
・レベル2＋お客さま影響を考慮した行動。復旧に向けてや代替え対応など他班へお願いすべき事項の整理と他班への共有。3点</t>
    <rPh sb="1" eb="4">
      <t>ケイカクリョク</t>
    </rPh>
    <rPh sb="29" eb="30">
      <t>テン</t>
    </rPh>
    <rPh sb="65" eb="66">
      <t>テン</t>
    </rPh>
    <rPh sb="116" eb="121">
      <t>ジョウホウシュウシュウリョク</t>
    </rPh>
    <rPh sb="124" eb="125">
      <t>テン</t>
    </rPh>
    <phoneticPr fontId="18"/>
  </si>
  <si>
    <t>発災翌日9時
担当しているシステムが稼働しているクラウド基盤に接続できないという事象が復旧しました。
あなたならどのような行動をとりますか？
何を使用し、何を行うか具体的に記述して下さい。
※評価対象コンピテンシー：計画力</t>
    <phoneticPr fontId="18"/>
  </si>
  <si>
    <t>≪計画力≫
・自分自身でできる対応を検討する記載　１点
・周囲の班員でできる対応を検討する記載　２点
・既存ルールの有無に限らず柔軟に他組織への協力依頼を行い、対応を計画する記載があれば　３点
メモ　3点としては、どこになんの情報を周知するかの観点が必要（お客様目線も必須）</t>
    <rPh sb="102" eb="103">
      <t>テン</t>
    </rPh>
    <rPh sb="114" eb="116">
      <t>ジョウホウ</t>
    </rPh>
    <rPh sb="117" eb="119">
      <t>シュウチ</t>
    </rPh>
    <rPh sb="123" eb="125">
      <t>カンテン</t>
    </rPh>
    <rPh sb="126" eb="128">
      <t>ヒツヨウ</t>
    </rPh>
    <rPh sb="130" eb="134">
      <t>キャクサマメセン</t>
    </rPh>
    <rPh sb="135" eb="137">
      <t>ヒッス</t>
    </rPh>
    <phoneticPr fontId="18"/>
  </si>
  <si>
    <t>10情報統括</t>
    <rPh sb="2" eb="6">
      <t>ジョウホウトウカツ</t>
    </rPh>
    <phoneticPr fontId="18"/>
  </si>
  <si>
    <t>発災当日23時
総務省から被害状況の報告依頼が来ている旨が全社情報共有の会議で報告されました。全社情報共有の会議後に、西日本初動本部からどのように対応すべきか危機管理室へ相談がありました。
あなたならどのように対応しますか？
※評価対象コンピテンシー：コミュニケーション力、情報収集力</t>
    <rPh sb="61" eb="63">
      <t>ニホン</t>
    </rPh>
    <rPh sb="140" eb="142">
      <t>ジョウホウ</t>
    </rPh>
    <rPh sb="142" eb="145">
      <t>シュウシュウリョク</t>
    </rPh>
    <phoneticPr fontId="18"/>
  </si>
  <si>
    <t>●</t>
  </si>
  <si>
    <r>
      <rPr>
        <sz val="11"/>
        <color rgb="FFFF0000"/>
        <rFont val="Meiryo UI"/>
        <family val="3"/>
        <charset val="128"/>
      </rPr>
      <t>1点：西日本初動本部と連絡をとろうとしている
2点：課題解決に向けて西日本初動本部と双方向でコミュニケーションをとっている
3点：西日本初動本部が総務省報告（Daas-Netの活用等）ができるように、双方向でコミュニケーションをとりながら課題を解決している</t>
    </r>
    <r>
      <rPr>
        <sz val="11"/>
        <color theme="1"/>
        <rFont val="Meiryo UI"/>
        <family val="3"/>
        <charset val="128"/>
      </rPr>
      <t xml:space="preserve">
</t>
    </r>
    <r>
      <rPr>
        <sz val="11"/>
        <color rgb="FF0000FF"/>
        <rFont val="Meiryo UI"/>
        <family val="3"/>
        <charset val="128"/>
      </rPr>
      <t>→西日本初動本部が総務省報告できるようにコミュニケーションをとっている　3点</t>
    </r>
    <rPh sb="3" eb="6">
      <t>ニシニホン</t>
    </rPh>
    <rPh sb="6" eb="10">
      <t>ショドウホンブ</t>
    </rPh>
    <rPh sb="73" eb="78">
      <t>ソウムショウホウコク</t>
    </rPh>
    <rPh sb="88" eb="90">
      <t>カツヨウ</t>
    </rPh>
    <rPh sb="90" eb="91">
      <t>トウ</t>
    </rPh>
    <rPh sb="119" eb="121">
      <t>カダイ</t>
    </rPh>
    <rPh sb="122" eb="124">
      <t>カイケツ</t>
    </rPh>
    <rPh sb="167" eb="168">
      <t>テン</t>
    </rPh>
    <phoneticPr fontId="18"/>
  </si>
  <si>
    <r>
      <rPr>
        <sz val="11"/>
        <color rgb="FFFF0000"/>
        <rFont val="Meiryo UI"/>
        <family val="3"/>
        <charset val="128"/>
      </rPr>
      <t>1点：自ら状況を確認しようとしている
2点：班内で体制を整え、西日本初動本部の対応可否や総務省報告に必要な情報収集を行っている
3点：班内で状況を確認できる体制を整え、西日本初動本部の対応可否や総務省報告に向けて設備影響、サービス影響、社員安否状況、ドコモグループ被災状況などの情報収集を行っている</t>
    </r>
    <r>
      <rPr>
        <sz val="11"/>
        <color theme="1"/>
        <rFont val="Meiryo UI"/>
        <family val="3"/>
        <charset val="128"/>
      </rPr>
      <t xml:space="preserve">
</t>
    </r>
    <r>
      <rPr>
        <sz val="11"/>
        <color rgb="FF0000FF"/>
        <rFont val="Meiryo UI"/>
        <family val="3"/>
        <charset val="128"/>
      </rPr>
      <t>→解答はサービス影響のみの確認となっているので、2点？
※3点基準の設備影響、社員安否状況、ドコモグループ被災状況は必須事項か？</t>
    </r>
    <rPh sb="5" eb="7">
      <t>ジョウキョウ</t>
    </rPh>
    <rPh sb="32" eb="34">
      <t>ニホン</t>
    </rPh>
    <rPh sb="44" eb="47">
      <t>ソウムショウ</t>
    </rPh>
    <rPh sb="47" eb="49">
      <t>ホウコク</t>
    </rPh>
    <rPh sb="50" eb="52">
      <t>ヒツヨウ</t>
    </rPh>
    <rPh sb="70" eb="72">
      <t>ジョウキョウ</t>
    </rPh>
    <rPh sb="103" eb="104">
      <t>ム</t>
    </rPh>
    <rPh sb="152" eb="154">
      <t>カイトウ</t>
    </rPh>
    <rPh sb="159" eb="161">
      <t>エイキョウ</t>
    </rPh>
    <rPh sb="164" eb="166">
      <t>カクニン</t>
    </rPh>
    <rPh sb="176" eb="177">
      <t>テン</t>
    </rPh>
    <rPh sb="181" eb="182">
      <t>テン</t>
    </rPh>
    <rPh sb="182" eb="184">
      <t>キジュン</t>
    </rPh>
    <rPh sb="209" eb="211">
      <t>ヒッス</t>
    </rPh>
    <rPh sb="211" eb="213">
      <t>ジコウ</t>
    </rPh>
    <phoneticPr fontId="18"/>
  </si>
  <si>
    <t>発災当日23時
このまま在宅勤務を続けると、会社PCや会社スマートフォンのバッテリーがなくなりそうです。
西日本初動本部から引継ぎを受けて情報統括班を立上げられるよう、いつまでにどのような準備をしますか？
※評価対象コンピテンシー：想像・先読み力、計画力</t>
    <rPh sb="23" eb="25">
      <t>カイシャ</t>
    </rPh>
    <rPh sb="119" eb="121">
      <t>ソウゾウ</t>
    </rPh>
    <rPh sb="122" eb="124">
      <t>サキヨ</t>
    </rPh>
    <phoneticPr fontId="18"/>
  </si>
  <si>
    <r>
      <rPr>
        <sz val="11"/>
        <color rgb="FFFF0000"/>
        <rFont val="Meiryo UI"/>
        <family val="3"/>
        <charset val="128"/>
      </rPr>
      <t>1点：次に起こる事を想定しようとしている
2点：次に起こる事を想定しつつ、今からできる対策を計画している
3点：バッテリー切れにより生じる影響を想定しながら、情報統括班を立上げるまでに必要な対応事項を具体的に計画している</t>
    </r>
    <r>
      <rPr>
        <sz val="11"/>
        <color theme="1"/>
        <rFont val="Meiryo UI"/>
        <family val="3"/>
        <charset val="128"/>
      </rPr>
      <t xml:space="preserve">
</t>
    </r>
    <r>
      <rPr>
        <sz val="11"/>
        <color rgb="FF0000FF"/>
        <rFont val="Meiryo UI"/>
        <family val="3"/>
        <charset val="128"/>
      </rPr>
      <t xml:space="preserve">
→バッテリー切れにより生じる影響を想定し、情報統括班を立上げるまでに必要な対応事項を想定している　3点</t>
    </r>
    <rPh sb="37" eb="38">
      <t>イマ</t>
    </rPh>
    <rPh sb="43" eb="45">
      <t>タイサク</t>
    </rPh>
    <rPh sb="61" eb="62">
      <t>ギ</t>
    </rPh>
    <rPh sb="66" eb="67">
      <t>ショウ</t>
    </rPh>
    <rPh sb="69" eb="71">
      <t>エイキョウ</t>
    </rPh>
    <rPh sb="92" eb="94">
      <t>ヒツヨウ</t>
    </rPh>
    <rPh sb="95" eb="99">
      <t>タイオウジコウ</t>
    </rPh>
    <phoneticPr fontId="18"/>
  </si>
  <si>
    <r>
      <rPr>
        <sz val="11"/>
        <color rgb="FFFF0000"/>
        <rFont val="Meiryo UI"/>
        <family val="3"/>
        <charset val="128"/>
      </rPr>
      <t>1点：バッテリー不足の中での業務継続に向けた対応を計画している
2点：バッテリー不足の中でも情報統括班を立上げられるよう、本社（大手町プレイス）や駆付拠点に向かう計画を立てている
3点：バッテリー不足の中でも情報統括班を立上げられるよう、本社（大手町プレイス）や駆付拠点に向かうために具体的な計画を立てている（移動手段、移動時間、必要備品準備、移動ルートの確認、ルート選定など）</t>
    </r>
    <r>
      <rPr>
        <sz val="11"/>
        <color theme="1"/>
        <rFont val="Meiryo UI"/>
        <family val="3"/>
        <charset val="128"/>
      </rPr>
      <t xml:space="preserve">
</t>
    </r>
    <r>
      <rPr>
        <sz val="11"/>
        <color rgb="FF0000FF"/>
        <rFont val="Meiryo UI"/>
        <family val="3"/>
        <charset val="128"/>
      </rPr>
      <t>→本社（大手町プレイス）や駆付拠点に向かうために綿密な計画を立てている　3点
・移動可能な手段の調査（移動に要する時間や利用可否）を開始し、長時間の移動の可能性もあるため、ある程度の食料や通信機器を所持
・安全な移動ルートの確認</t>
    </r>
    <rPh sb="8" eb="10">
      <t>ブソク</t>
    </rPh>
    <rPh sb="11" eb="12">
      <t>ナカ</t>
    </rPh>
    <rPh sb="14" eb="16">
      <t>ギョウム</t>
    </rPh>
    <rPh sb="16" eb="18">
      <t>ケイゾク</t>
    </rPh>
    <rPh sb="19" eb="20">
      <t>ム</t>
    </rPh>
    <rPh sb="22" eb="24">
      <t>タイオウ</t>
    </rPh>
    <rPh sb="43" eb="44">
      <t>ナカ</t>
    </rPh>
    <rPh sb="61" eb="63">
      <t>ホンシャ</t>
    </rPh>
    <rPh sb="64" eb="67">
      <t>オオテマチ</t>
    </rPh>
    <rPh sb="73" eb="74">
      <t>カ</t>
    </rPh>
    <rPh sb="74" eb="75">
      <t>ツ</t>
    </rPh>
    <rPh sb="75" eb="77">
      <t>キョテン</t>
    </rPh>
    <rPh sb="78" eb="79">
      <t>ム</t>
    </rPh>
    <rPh sb="84" eb="85">
      <t>タ</t>
    </rPh>
    <rPh sb="142" eb="145">
      <t>グタイテキ</t>
    </rPh>
    <rPh sb="149" eb="150">
      <t>タ</t>
    </rPh>
    <rPh sb="155" eb="159">
      <t>イドウシュダン</t>
    </rPh>
    <rPh sb="172" eb="174">
      <t>イドウ</t>
    </rPh>
    <rPh sb="178" eb="180">
      <t>カクニン</t>
    </rPh>
    <rPh sb="184" eb="186">
      <t>センテイ</t>
    </rPh>
    <rPh sb="221" eb="222">
      <t>タ</t>
    </rPh>
    <rPh sb="228" eb="229">
      <t>テン</t>
    </rPh>
    <phoneticPr fontId="18"/>
  </si>
  <si>
    <t>発災翌日6時
大手町プレイスへ移動することにしました。
西日本初動本部へ移動前に何を報告しますか？
※評価対象コンピテンシー：想像・先読み力、計画力</t>
    <rPh sb="31" eb="33">
      <t>ニホン</t>
    </rPh>
    <phoneticPr fontId="18"/>
  </si>
  <si>
    <r>
      <t xml:space="preserve">1点：移動中に起こる事を想定しようとしている
2点：移動中に起こる事を想定した内容を行動に結び付けている
3点：移動中のリスクを想定した上で、リスク回避の具体的な計画を報告している
</t>
    </r>
    <r>
      <rPr>
        <sz val="11"/>
        <color rgb="FF0000FF"/>
        <rFont val="Meiryo UI"/>
        <family val="3"/>
        <charset val="128"/>
      </rPr>
      <t>→移動中に起こることの想定として「バッテリーを気にしている」1点
ただし、「何を報告しますか？」なので、そもそも想像・先読み力の発揮は難しい</t>
    </r>
    <rPh sb="3" eb="6">
      <t>イドウチュウ</t>
    </rPh>
    <rPh sb="39" eb="41">
      <t>ナイヨウ</t>
    </rPh>
    <rPh sb="42" eb="44">
      <t>コウドウ</t>
    </rPh>
    <rPh sb="45" eb="46">
      <t>ムス</t>
    </rPh>
    <rPh sb="47" eb="48">
      <t>ツ</t>
    </rPh>
    <rPh sb="64" eb="66">
      <t>ソウテイ</t>
    </rPh>
    <rPh sb="68" eb="69">
      <t>ウエ</t>
    </rPh>
    <rPh sb="74" eb="76">
      <t>カイヒ</t>
    </rPh>
    <rPh sb="77" eb="80">
      <t>グタイテキ</t>
    </rPh>
    <rPh sb="84" eb="86">
      <t>ホウコク</t>
    </rPh>
    <rPh sb="93" eb="96">
      <t>イドウチュウ</t>
    </rPh>
    <rPh sb="97" eb="98">
      <t>オ</t>
    </rPh>
    <rPh sb="103" eb="105">
      <t>ソウテイ</t>
    </rPh>
    <rPh sb="115" eb="116">
      <t>キ</t>
    </rPh>
    <rPh sb="123" eb="124">
      <t>テン</t>
    </rPh>
    <rPh sb="130" eb="131">
      <t>ナニ</t>
    </rPh>
    <rPh sb="132" eb="134">
      <t>ホウコク</t>
    </rPh>
    <rPh sb="148" eb="150">
      <t>ソウゾウ</t>
    </rPh>
    <rPh sb="151" eb="153">
      <t>サキヨ</t>
    </rPh>
    <rPh sb="154" eb="155">
      <t>リョク</t>
    </rPh>
    <rPh sb="156" eb="158">
      <t>ハッキ</t>
    </rPh>
    <rPh sb="159" eb="160">
      <t>ムズカ</t>
    </rPh>
    <phoneticPr fontId="18"/>
  </si>
  <si>
    <r>
      <rPr>
        <sz val="11"/>
        <color rgb="FFFF0000"/>
        <rFont val="Meiryo UI"/>
        <family val="3"/>
        <charset val="128"/>
      </rPr>
      <t>1点：移動の計画を立て報告している
2点：予定到着時間や移動中の定期報告など、移動の計画を具体的に立てて報告している
3点：想像・先読みした内容を踏まえて、予定到着時間や移動中の定期報告など、移動の計画を具体的に立てて報告している</t>
    </r>
    <r>
      <rPr>
        <sz val="11"/>
        <color theme="1"/>
        <rFont val="Meiryo UI"/>
        <family val="3"/>
        <charset val="128"/>
      </rPr>
      <t xml:space="preserve">
</t>
    </r>
    <r>
      <rPr>
        <sz val="11"/>
        <color rgb="FF0000FF"/>
        <rFont val="Meiryo UI"/>
        <family val="3"/>
        <charset val="128"/>
      </rPr>
      <t xml:space="preserve">
→予定到着時間や移動中の定期報告など、項目は満たしているが、計画の具体性が小さいので2点（例：移動手段＝徒歩、自転車・・・）</t>
    </r>
    <rPh sb="3" eb="5">
      <t>イドウ</t>
    </rPh>
    <rPh sb="9" eb="10">
      <t>タ</t>
    </rPh>
    <rPh sb="11" eb="13">
      <t>ホウコク</t>
    </rPh>
    <rPh sb="28" eb="31">
      <t>イドウチュウ</t>
    </rPh>
    <rPh sb="32" eb="36">
      <t>テイキホウコク</t>
    </rPh>
    <rPh sb="45" eb="48">
      <t>グタイテキ</t>
    </rPh>
    <rPh sb="62" eb="64">
      <t>ソウゾウ</t>
    </rPh>
    <rPh sb="65" eb="67">
      <t>サキヨ</t>
    </rPh>
    <rPh sb="70" eb="72">
      <t>ナイヨウ</t>
    </rPh>
    <rPh sb="73" eb="74">
      <t>フ</t>
    </rPh>
    <rPh sb="136" eb="138">
      <t>コウモク</t>
    </rPh>
    <rPh sb="139" eb="140">
      <t>ミ</t>
    </rPh>
    <rPh sb="147" eb="149">
      <t>ケイカク</t>
    </rPh>
    <rPh sb="152" eb="153">
      <t>セイ</t>
    </rPh>
    <rPh sb="154" eb="155">
      <t>チイ</t>
    </rPh>
    <rPh sb="162" eb="163">
      <t>レイ</t>
    </rPh>
    <rPh sb="164" eb="168">
      <t>イドウシュダン</t>
    </rPh>
    <phoneticPr fontId="18"/>
  </si>
  <si>
    <t>発災翌日7時
大手町プレイスへ自転車で移動中です。
あたりは真っ暗できれいな星空です。遠くでは空がオレンジに光っています。
西日本初動本部へ何を報告しますか？
※評価対象コンピテンシー：コミュニケーション力、情報分析力</t>
    <rPh sb="16" eb="19">
      <t>ジテンシャ</t>
    </rPh>
    <rPh sb="65" eb="67">
      <t>ニホン</t>
    </rPh>
    <rPh sb="109" eb="111">
      <t>ブンセキ</t>
    </rPh>
    <phoneticPr fontId="18"/>
  </si>
  <si>
    <r>
      <rPr>
        <sz val="11"/>
        <color rgb="FFFF0000"/>
        <rFont val="Meiryo UI"/>
        <family val="3"/>
        <charset val="128"/>
      </rPr>
      <t xml:space="preserve">1点：西日本初動本部と連絡をとろうとしている
2点：西日本初動本部へ状況を分かりやすく伝えている
3点：西日本初動本部へ状況を分かりやすく伝えるために工夫（齟齬が出にくい表現や写真、映像など）している
</t>
    </r>
    <r>
      <rPr>
        <sz val="11"/>
        <color theme="1"/>
        <rFont val="Meiryo UI"/>
        <family val="3"/>
        <charset val="128"/>
      </rPr>
      <t xml:space="preserve">
</t>
    </r>
    <r>
      <rPr>
        <sz val="11"/>
        <color rgb="FF0000FF"/>
        <rFont val="Meiryo UI"/>
        <family val="3"/>
        <charset val="128"/>
      </rPr>
      <t>→分かりやすく伝えている2点
何を報告しますか？なので、コミュニケーションを意識しにくい、「西日本初動本部とどのようなやりとりをしますか？」のように改善が必要？</t>
    </r>
    <rPh sb="34" eb="36">
      <t>ジョウキョウ</t>
    </rPh>
    <rPh sb="37" eb="38">
      <t>ワ</t>
    </rPh>
    <rPh sb="43" eb="44">
      <t>ツタ</t>
    </rPh>
    <rPh sb="60" eb="62">
      <t>ジョウキョウ</t>
    </rPh>
    <rPh sb="63" eb="64">
      <t>ワ</t>
    </rPh>
    <rPh sb="69" eb="70">
      <t>ツタ</t>
    </rPh>
    <rPh sb="88" eb="90">
      <t>シャシン</t>
    </rPh>
    <rPh sb="91" eb="93">
      <t>エイゾウ</t>
    </rPh>
    <rPh sb="103" eb="104">
      <t>ワ</t>
    </rPh>
    <rPh sb="109" eb="110">
      <t>ツタ</t>
    </rPh>
    <rPh sb="115" eb="116">
      <t>テン</t>
    </rPh>
    <rPh sb="117" eb="118">
      <t>ナニ</t>
    </rPh>
    <rPh sb="119" eb="121">
      <t>ホウコク</t>
    </rPh>
    <rPh sb="140" eb="142">
      <t>イシキ</t>
    </rPh>
    <rPh sb="176" eb="178">
      <t>カイゼン</t>
    </rPh>
    <rPh sb="179" eb="181">
      <t>ヒツヨウ</t>
    </rPh>
    <phoneticPr fontId="18"/>
  </si>
  <si>
    <r>
      <rPr>
        <sz val="11"/>
        <color rgb="FFFF0000"/>
        <rFont val="Meiryo UI"/>
        <family val="3"/>
        <charset val="128"/>
      </rPr>
      <t xml:space="preserve">1点：火災について分析している
2点：火災の方角や距離、規模を想定し、移動の安全性やサービスへの重大な影響を及ぼす可能性を分析している
3点：火災の方角や距離、規模を想定し、移動の安全性やサービスへの重大な影響を及ぼす可能性を分析した上で、報告と注意喚起を行う
</t>
    </r>
    <r>
      <rPr>
        <sz val="11"/>
        <color rgb="FF0000FF"/>
        <rFont val="Meiryo UI"/>
        <family val="3"/>
        <charset val="128"/>
      </rPr>
      <t>→オレンジ色に光っていることに言及がない　0点</t>
    </r>
    <rPh sb="3" eb="5">
      <t>カサイ</t>
    </rPh>
    <rPh sb="9" eb="11">
      <t>ブンセキ</t>
    </rPh>
    <rPh sb="28" eb="30">
      <t>キボ</t>
    </rPh>
    <rPh sb="31" eb="33">
      <t>ソウテイ</t>
    </rPh>
    <rPh sb="35" eb="37">
      <t>イドウ</t>
    </rPh>
    <rPh sb="38" eb="41">
      <t>アンゼンセイ</t>
    </rPh>
    <rPh sb="61" eb="63">
      <t>ブンセキ</t>
    </rPh>
    <rPh sb="80" eb="82">
      <t>キボ</t>
    </rPh>
    <rPh sb="83" eb="85">
      <t>ソウテイ</t>
    </rPh>
    <rPh sb="117" eb="118">
      <t>ウエ</t>
    </rPh>
    <rPh sb="120" eb="122">
      <t>ホウコク</t>
    </rPh>
    <rPh sb="128" eb="129">
      <t>オコナ</t>
    </rPh>
    <rPh sb="137" eb="138">
      <t>イロ</t>
    </rPh>
    <rPh sb="139" eb="140">
      <t>ヒカ</t>
    </rPh>
    <rPh sb="147" eb="149">
      <t>ゲンキュウ</t>
    </rPh>
    <rPh sb="154" eb="155">
      <t>テン</t>
    </rPh>
    <phoneticPr fontId="18"/>
  </si>
  <si>
    <t>シーン3</t>
    <phoneticPr fontId="18"/>
  </si>
  <si>
    <t>共通12</t>
    <rPh sb="0" eb="2">
      <t>キョウツウ</t>
    </rPh>
    <phoneticPr fontId="18"/>
  </si>
  <si>
    <t>発災翌日18時
西日本初動本部から東京へ引継ぎが完了しました。
翌日９時に全社の災害対策本部会議が開催されます。
あなたならどのような行動をとりますか？
何を使用し、何を行うか具体的に記述して下さい。
※評価対象コンピテンシー：コミュニケーション力、計画力</t>
    <phoneticPr fontId="18"/>
  </si>
  <si>
    <t>1点：班長、班員への周知や情報収集のみ（一方向）
2点：班長、班員と災害対策本部会議参加に向けて、必要なコミュニケーションをとっている（双方向）
3点：災害対策本部会議参での円滑なコミュニケーションに向けて、災害対応状況や課題感、情報提供事項、他班から収集したい情報などについて、班長や班員と双方向のコミュニケーションをとって確認している</t>
    <rPh sb="3" eb="5">
      <t>ハンチョウ</t>
    </rPh>
    <rPh sb="6" eb="8">
      <t>ハンイン</t>
    </rPh>
    <rPh sb="10" eb="12">
      <t>シュウチ</t>
    </rPh>
    <rPh sb="31" eb="33">
      <t>ハンイン</t>
    </rPh>
    <rPh sb="34" eb="42">
      <t>サイガイタイサクホンブカイギ</t>
    </rPh>
    <rPh sb="42" eb="44">
      <t>サンカ</t>
    </rPh>
    <rPh sb="45" eb="46">
      <t>ム</t>
    </rPh>
    <rPh sb="49" eb="51">
      <t>ヒツヨウ</t>
    </rPh>
    <rPh sb="87" eb="89">
      <t>エンカツ</t>
    </rPh>
    <rPh sb="100" eb="101">
      <t>ム</t>
    </rPh>
    <rPh sb="104" eb="110">
      <t>サイガイタイオウジョウキョウ</t>
    </rPh>
    <rPh sb="111" eb="114">
      <t>カダイカン</t>
    </rPh>
    <rPh sb="122" eb="123">
      <t>タ</t>
    </rPh>
    <rPh sb="123" eb="124">
      <t>ハン</t>
    </rPh>
    <rPh sb="126" eb="128">
      <t>シュウシュウ</t>
    </rPh>
    <rPh sb="131" eb="133">
      <t>ジョウホウ</t>
    </rPh>
    <rPh sb="140" eb="142">
      <t>ハンチョウ</t>
    </rPh>
    <rPh sb="143" eb="145">
      <t>ハンイン</t>
    </rPh>
    <rPh sb="146" eb="149">
      <t>ソウホウコウ</t>
    </rPh>
    <rPh sb="163" eb="165">
      <t>カクニン</t>
    </rPh>
    <phoneticPr fontId="18"/>
  </si>
  <si>
    <t>1点：災害対策本部会議参加に向けて準備をしている
2点：災害対策本部会議参加での報告事項や相談事項などのゴールを計画している
3点：災害対策本部会議参加での報告事項や相談事項などのゴール計画に対して、誰が何を準備するのかを具体的に計画する。</t>
    <rPh sb="1" eb="2">
      <t>テン</t>
    </rPh>
    <rPh sb="17" eb="19">
      <t>ジュンビ</t>
    </rPh>
    <rPh sb="26" eb="27">
      <t>テン</t>
    </rPh>
    <rPh sb="40" eb="44">
      <t>ホウコクジコウ</t>
    </rPh>
    <rPh sb="45" eb="49">
      <t>ソウダンジコウ</t>
    </rPh>
    <rPh sb="56" eb="58">
      <t>ケイカク</t>
    </rPh>
    <rPh sb="64" eb="65">
      <t>テン</t>
    </rPh>
    <rPh sb="96" eb="97">
      <t>タイ</t>
    </rPh>
    <rPh sb="100" eb="101">
      <t>ダレ</t>
    </rPh>
    <rPh sb="102" eb="103">
      <t>ナニ</t>
    </rPh>
    <rPh sb="104" eb="106">
      <t>ジュンビ</t>
    </rPh>
    <rPh sb="111" eb="114">
      <t>グタイテキ</t>
    </rPh>
    <rPh sb="115" eb="117">
      <t>ケイカク</t>
    </rPh>
    <phoneticPr fontId="18"/>
  </si>
  <si>
    <t>発災翌日18時
四役から大手町プレイスに移動して指揮を執りたいと言われています。
引き続き、高速道路、国道は一般車両通行止めになっている区間が多数あり、建物倒壊や道路、橋の被害など、安全に移動できるのかは把握できていない状況です。
あなたならどのように対応しますか？
何を使用し、何を行うか具体的に記述して下さい。
※評価対象コンピテンシー：情報分析力、想像・先読み、計画力</t>
    <rPh sb="43" eb="44">
      <t>ヒ</t>
    </rPh>
    <rPh sb="45" eb="46">
      <t>ツヅ</t>
    </rPh>
    <rPh sb="70" eb="72">
      <t>クカン</t>
    </rPh>
    <rPh sb="73" eb="75">
      <t>タスウ</t>
    </rPh>
    <rPh sb="78" eb="82">
      <t>タテモノトウカイ</t>
    </rPh>
    <rPh sb="83" eb="85">
      <t>ドウロ</t>
    </rPh>
    <rPh sb="86" eb="87">
      <t>ハシ</t>
    </rPh>
    <rPh sb="88" eb="90">
      <t>ヒガイ</t>
    </rPh>
    <rPh sb="93" eb="95">
      <t>アンゼン</t>
    </rPh>
    <rPh sb="96" eb="98">
      <t>イドウ</t>
    </rPh>
    <rPh sb="104" eb="106">
      <t>ハアク</t>
    </rPh>
    <rPh sb="112" eb="114">
      <t>ジョウキョウ</t>
    </rPh>
    <rPh sb="129" eb="131">
      <t>タイオウ</t>
    </rPh>
    <rPh sb="188" eb="191">
      <t>ケイカクリョク</t>
    </rPh>
    <phoneticPr fontId="18"/>
  </si>
  <si>
    <t>≪情報分析≫
GoogoleMAP　通れるマップなどを使用して、自宅から大手町まで移動可能ルートを検索</t>
    <rPh sb="1" eb="3">
      <t>ジョウホウ</t>
    </rPh>
    <rPh sb="3" eb="5">
      <t>ブンセキ</t>
    </rPh>
    <rPh sb="18" eb="19">
      <t>トオ</t>
    </rPh>
    <rPh sb="27" eb="29">
      <t>シヨウ</t>
    </rPh>
    <rPh sb="32" eb="34">
      <t>ジタク</t>
    </rPh>
    <rPh sb="36" eb="39">
      <t>オオテマチ</t>
    </rPh>
    <rPh sb="41" eb="43">
      <t>イドウ</t>
    </rPh>
    <rPh sb="43" eb="45">
      <t>カノウ</t>
    </rPh>
    <rPh sb="49" eb="51">
      <t>ケンサク</t>
    </rPh>
    <phoneticPr fontId="18"/>
  </si>
  <si>
    <t>≪想像。先読み≫
通行止め区間が発生しているようであれば、緊急車両を使用して移動手段の確保、その場合、1台しかないため、1回で行えるか、数回のピストン輸送が必要か確認</t>
    <rPh sb="1" eb="3">
      <t>ソウゾウ</t>
    </rPh>
    <rPh sb="4" eb="6">
      <t>サキヨ</t>
    </rPh>
    <phoneticPr fontId="18"/>
  </si>
  <si>
    <t>≪計画力≫
幹部を迎えに行くプランの確立
ルート、使用車両、所要時間の算出</t>
    <rPh sb="6" eb="8">
      <t>カンブ</t>
    </rPh>
    <rPh sb="9" eb="10">
      <t>ムカ</t>
    </rPh>
    <rPh sb="12" eb="13">
      <t>イ</t>
    </rPh>
    <rPh sb="18" eb="20">
      <t>カクリツ</t>
    </rPh>
    <rPh sb="25" eb="27">
      <t>シヨウ</t>
    </rPh>
    <rPh sb="27" eb="29">
      <t>シャリョウ</t>
    </rPh>
    <rPh sb="30" eb="34">
      <t>ショヨウジカン</t>
    </rPh>
    <rPh sb="35" eb="37">
      <t>サンシュツ</t>
    </rPh>
    <phoneticPr fontId="18"/>
  </si>
  <si>
    <t>発災3日後12時
全社情報共有の会議にて、情報統括班（危機管理室）から以下の報告がありました。
「持株会社の災害対策室よりNTTグループ各社の幹部（社長または副社長）を集めた会議を中央研修センターで対面開催したいとの要請があった」
本部長支援として、あなたなら、どのような行動を取りますか？
具体的に記述して下さい。
評価対象コンピテンシー：情報収集力、計画力</t>
    <phoneticPr fontId="18"/>
  </si>
  <si>
    <t>≪情報収集力≫
・自身で収集　1点
・班内を巻き込んで収集　2点
・班間の情報を含め収集（ほかにあるのか等）し、精査する　3点</t>
    <phoneticPr fontId="18"/>
  </si>
  <si>
    <t>共通13</t>
    <rPh sb="0" eb="2">
      <t>キョウツウ</t>
    </rPh>
    <phoneticPr fontId="18"/>
  </si>
  <si>
    <t>発災3日後12時
自班のTeamsチャットにて「発災時より復旧対応している班員が、目に見えて疲弊している」という情報が入ってきました。
・公共交通機関の稼働状況は50％程度
・周辺コンビニの食料は売り切れ
あなたならどのような行動をとりますか？
何を使用し、何を行うか具体的に記述して下さい。
※評価対象コンピテンシー：情報収集力、計画力</t>
    <phoneticPr fontId="18"/>
  </si>
  <si>
    <t>1点：班員の状況確認
2点：班員に寄り添いながら、状況を確認し課題感をお互いに共有する
3点：班員に寄り添いながら、状況を確認し課題感をお互いに共有した上で、社内全体の課題として全体情報共有の会議等で班を超えてコミュニケーションをとりながら解決に取組んでいる。</t>
    <rPh sb="1" eb="2">
      <t>テン</t>
    </rPh>
    <rPh sb="3" eb="5">
      <t>ハンイン</t>
    </rPh>
    <rPh sb="6" eb="10">
      <t>ジョウキョウカクニン</t>
    </rPh>
    <rPh sb="12" eb="13">
      <t>テン</t>
    </rPh>
    <rPh sb="14" eb="16">
      <t>ハンイン</t>
    </rPh>
    <rPh sb="25" eb="27">
      <t>ジョウキョウ</t>
    </rPh>
    <rPh sb="28" eb="30">
      <t>カクニン</t>
    </rPh>
    <rPh sb="31" eb="34">
      <t>カダイカン</t>
    </rPh>
    <rPh sb="36" eb="37">
      <t>タガ</t>
    </rPh>
    <rPh sb="39" eb="41">
      <t>キョウユウ</t>
    </rPh>
    <rPh sb="45" eb="46">
      <t>テン</t>
    </rPh>
    <rPh sb="47" eb="49">
      <t>ハンイン</t>
    </rPh>
    <rPh sb="76" eb="77">
      <t>ウエ</t>
    </rPh>
    <rPh sb="79" eb="83">
      <t>シャナイゼンタイ</t>
    </rPh>
    <rPh sb="84" eb="86">
      <t>カダイ</t>
    </rPh>
    <rPh sb="100" eb="101">
      <t>ハン</t>
    </rPh>
    <rPh sb="102" eb="103">
      <t>コ</t>
    </rPh>
    <rPh sb="120" eb="122">
      <t>カイケツ</t>
    </rPh>
    <rPh sb="123" eb="124">
      <t>ト</t>
    </rPh>
    <rPh sb="124" eb="125">
      <t>ク</t>
    </rPh>
    <phoneticPr fontId="18"/>
  </si>
  <si>
    <t>1点：班員の疲労に関する情報収集をしている
2点：班員の疲労や必要物資に関して情報収集している
3点：班員の疲労に関する情報や班活動に必要な全体のリソースと残量、心理面も含めた課題感について情報収集している。</t>
    <rPh sb="3" eb="5">
      <t>ハンイン</t>
    </rPh>
    <rPh sb="6" eb="8">
      <t>ヒロウ</t>
    </rPh>
    <rPh sb="9" eb="10">
      <t>カン</t>
    </rPh>
    <rPh sb="12" eb="16">
      <t>ジョウホウシュウシュウ</t>
    </rPh>
    <rPh sb="23" eb="24">
      <t>テン</t>
    </rPh>
    <rPh sb="31" eb="33">
      <t>ヒツヨウ</t>
    </rPh>
    <rPh sb="33" eb="35">
      <t>ブッシ</t>
    </rPh>
    <rPh sb="36" eb="37">
      <t>カン</t>
    </rPh>
    <rPh sb="39" eb="43">
      <t>ジョウホウシュウシュウ</t>
    </rPh>
    <rPh sb="49" eb="50">
      <t>テン</t>
    </rPh>
    <rPh sb="78" eb="80">
      <t>ザンリョウ</t>
    </rPh>
    <phoneticPr fontId="18"/>
  </si>
  <si>
    <t>1点：疲労状況に対して、対応策を計画している
2点：疲労状況に対して、シフト調整や必要備蓄品の配備などを計画している
3点：災害対応の長期化を見据えた上で、シフト調整や班間連携、必要備蓄品の配備や心理面のケアについて具体的に計画している</t>
    <rPh sb="1" eb="2">
      <t>テン</t>
    </rPh>
    <rPh sb="3" eb="7">
      <t>ヒロウジョウキョウ</t>
    </rPh>
    <rPh sb="8" eb="9">
      <t>タイ</t>
    </rPh>
    <rPh sb="12" eb="15">
      <t>タイオウサク</t>
    </rPh>
    <rPh sb="16" eb="18">
      <t>ケイカク</t>
    </rPh>
    <rPh sb="24" eb="25">
      <t>テン</t>
    </rPh>
    <rPh sb="38" eb="40">
      <t>チョウセイ</t>
    </rPh>
    <rPh sb="41" eb="46">
      <t>ヒツヨウビチクヒン</t>
    </rPh>
    <rPh sb="47" eb="49">
      <t>ハイビ</t>
    </rPh>
    <rPh sb="52" eb="54">
      <t>ケイカク</t>
    </rPh>
    <rPh sb="60" eb="61">
      <t>テン</t>
    </rPh>
    <rPh sb="62" eb="66">
      <t>サイガイタイオウ</t>
    </rPh>
    <rPh sb="67" eb="70">
      <t>チョウキカ</t>
    </rPh>
    <rPh sb="71" eb="73">
      <t>ミス</t>
    </rPh>
    <rPh sb="75" eb="76">
      <t>ウエ</t>
    </rPh>
    <rPh sb="84" eb="85">
      <t>ハン</t>
    </rPh>
    <rPh sb="85" eb="86">
      <t>カン</t>
    </rPh>
    <rPh sb="86" eb="88">
      <t>レンケイ</t>
    </rPh>
    <rPh sb="95" eb="97">
      <t>ハイビ</t>
    </rPh>
    <rPh sb="98" eb="101">
      <t>シンリメン</t>
    </rPh>
    <rPh sb="108" eb="111">
      <t>グタイテキ</t>
    </rPh>
    <rPh sb="112" eb="114">
      <t>ケイカク</t>
    </rPh>
    <phoneticPr fontId="18"/>
  </si>
  <si>
    <t>発災3日後12時
NTT東日本、NTT西日本より、災害時特設公衆電話の開設について情報連絡がありました。
あなたならどのような行動をとりますか？
何を使用し、何を行うか具体的に記述して下さい。
※評価対象コンピテンシー：コミュニケーション力</t>
    <phoneticPr fontId="18"/>
  </si>
  <si>
    <r>
      <t>≪コミュニケーション≫</t>
    </r>
    <r>
      <rPr>
        <sz val="11"/>
        <color rgb="FF0000FF"/>
        <rFont val="Meiryo UI"/>
        <family val="3"/>
        <charset val="128"/>
      </rPr>
      <t>自身で対応するか、班員に指示をだすか明確なアクションの明示が必要</t>
    </r>
    <r>
      <rPr>
        <sz val="11"/>
        <rFont val="Meiryo UI"/>
        <family val="3"/>
        <charset val="128"/>
      </rPr>
      <t xml:space="preserve">
・自身や周囲のメンバに事実のみを展開　１点
・情報を班内に展開　２点
・班間に状況を共有、さらにアクションをおこしていれば　３点
</t>
    </r>
    <rPh sb="11" eb="13">
      <t>ジシン</t>
    </rPh>
    <rPh sb="14" eb="16">
      <t>タイオウ</t>
    </rPh>
    <rPh sb="20" eb="22">
      <t>ハンイン</t>
    </rPh>
    <rPh sb="23" eb="25">
      <t>シジ</t>
    </rPh>
    <rPh sb="29" eb="31">
      <t>メイカク</t>
    </rPh>
    <rPh sb="38" eb="40">
      <t>メイジ</t>
    </rPh>
    <rPh sb="41" eb="43">
      <t>ヒツヨウ</t>
    </rPh>
    <rPh sb="55" eb="57">
      <t>ジジツ</t>
    </rPh>
    <rPh sb="67" eb="69">
      <t>ジョウホウ</t>
    </rPh>
    <phoneticPr fontId="18"/>
  </si>
  <si>
    <t>発災7日後12時
持株会社経由で総務省から、料金減免方針等の支援策の報告依頼がありました。
あなたならどのような行動をとりますか？
何を使用し、何を行うか具体的に記述して下さい。
※評価対象コンピテンシー：コミュニケーション力、情報収集力</t>
    <rPh sb="12" eb="14">
      <t>カイシャ</t>
    </rPh>
    <phoneticPr fontId="18"/>
  </si>
  <si>
    <r>
      <t>≪コミュニケーション≫</t>
    </r>
    <r>
      <rPr>
        <sz val="11"/>
        <color rgb="FF0000FF"/>
        <rFont val="Meiryo UI"/>
        <family val="3"/>
        <charset val="128"/>
      </rPr>
      <t>災害対策本部態勢下における正しいプロセスが行えるか？</t>
    </r>
    <r>
      <rPr>
        <sz val="11"/>
        <rFont val="Meiryo UI"/>
        <family val="3"/>
        <charset val="128"/>
      </rPr>
      <t xml:space="preserve">
・自身や周囲のメンバに事実のみ展開　１点
・班内に依頼を展開するとともに対応指示する　２点
・班間（各サービス）に状況を共有、さらにアクションをおこしていれば　３点</t>
    </r>
    <rPh sb="11" eb="15">
      <t>サイガイタイサク</t>
    </rPh>
    <rPh sb="15" eb="17">
      <t>ホンブ</t>
    </rPh>
    <rPh sb="17" eb="19">
      <t>タイセイ</t>
    </rPh>
    <rPh sb="19" eb="20">
      <t>カ</t>
    </rPh>
    <rPh sb="24" eb="25">
      <t>タダ</t>
    </rPh>
    <rPh sb="32" eb="33">
      <t>オコナ</t>
    </rPh>
    <rPh sb="49" eb="51">
      <t>ジジツ</t>
    </rPh>
    <rPh sb="63" eb="65">
      <t>イライ</t>
    </rPh>
    <rPh sb="88" eb="89">
      <t>カク</t>
    </rPh>
    <phoneticPr fontId="18"/>
  </si>
  <si>
    <r>
      <t>≪情報収集力≫（</t>
    </r>
    <r>
      <rPr>
        <sz val="11"/>
        <color rgb="FF0000FF"/>
        <rFont val="Meiryo UI"/>
        <family val="3"/>
        <charset val="128"/>
      </rPr>
      <t xml:space="preserve">発災7日後の落ち着いた状況ではあるが）自班に限らず全社に目を向けて情報収集・発信ができるか？
</t>
    </r>
    <r>
      <rPr>
        <sz val="11"/>
        <rFont val="Meiryo UI"/>
        <family val="3"/>
        <charset val="128"/>
      </rPr>
      <t xml:space="preserve">・自身で収集　1点
・班内を巻き込んで収集　2点
・班間の情報を含め収集（ほかにあるのか等）し、精査する　3点
</t>
    </r>
    <rPh sb="1" eb="3">
      <t>ジョウホウ</t>
    </rPh>
    <rPh sb="3" eb="6">
      <t>シュウシュウリョク</t>
    </rPh>
    <rPh sb="8" eb="10">
      <t>ハッサイ</t>
    </rPh>
    <rPh sb="11" eb="12">
      <t>ニチ</t>
    </rPh>
    <rPh sb="12" eb="13">
      <t>ゴ</t>
    </rPh>
    <rPh sb="14" eb="15">
      <t>オ</t>
    </rPh>
    <rPh sb="16" eb="17">
      <t>ツ</t>
    </rPh>
    <rPh sb="19" eb="21">
      <t>ジョウキョウ</t>
    </rPh>
    <rPh sb="56" eb="58">
      <t>ジシン</t>
    </rPh>
    <rPh sb="59" eb="61">
      <t>シュウシュウ</t>
    </rPh>
    <rPh sb="63" eb="64">
      <t>テン</t>
    </rPh>
    <rPh sb="69" eb="70">
      <t>マ</t>
    </rPh>
    <rPh sb="71" eb="72">
      <t>コ</t>
    </rPh>
    <rPh sb="74" eb="76">
      <t>シュウシュウ</t>
    </rPh>
    <rPh sb="78" eb="79">
      <t>テン</t>
    </rPh>
    <rPh sb="81" eb="83">
      <t>ハンカン</t>
    </rPh>
    <rPh sb="84" eb="86">
      <t>ジョウホウ</t>
    </rPh>
    <rPh sb="87" eb="88">
      <t>フク</t>
    </rPh>
    <rPh sb="89" eb="91">
      <t>シュウシュウ</t>
    </rPh>
    <rPh sb="99" eb="100">
      <t>トウ</t>
    </rPh>
    <rPh sb="103" eb="105">
      <t>セイサ</t>
    </rPh>
    <rPh sb="109" eb="110">
      <t>テン</t>
    </rPh>
    <phoneticPr fontId="18"/>
  </si>
  <si>
    <t>共通14</t>
    <rPh sb="0" eb="2">
      <t>キョウツウ</t>
    </rPh>
    <phoneticPr fontId="18"/>
  </si>
  <si>
    <t>発災7日後12時
「東京電力が計画停電を3日後から実施する」という情報が参加中の全社情報共有の会議で情報統括班から流れて来ました。
あなたならどのような行動を行いますか？
何を使用し、何を行うか具体的に記述して下さい。
※評価対象コンピテンシー：情報分析力、想像・先読み力、計画力</t>
    <rPh sb="43" eb="45">
      <t>ジョウホウ</t>
    </rPh>
    <phoneticPr fontId="18"/>
  </si>
  <si>
    <t>1点：計画停電に伴うサービスへの影響を想定している
2点：いつ、どこで、どれくらいの時間の停電が計画されているのかを確認し、サービス影響を具体的に分析している
3点：いつ、どこで、どれくらいの時間の停電が計画されているのかを確認し、サービス影響を具体的に分析した結果が、影響顧客への対応や事前対策に反映されている</t>
    <rPh sb="1" eb="2">
      <t>テン</t>
    </rPh>
    <rPh sb="3" eb="5">
      <t>ケイカク</t>
    </rPh>
    <rPh sb="5" eb="7">
      <t>テイデン</t>
    </rPh>
    <rPh sb="8" eb="9">
      <t>トモナ</t>
    </rPh>
    <rPh sb="16" eb="18">
      <t>エイキョウ</t>
    </rPh>
    <rPh sb="19" eb="21">
      <t>ソウテイ</t>
    </rPh>
    <rPh sb="27" eb="28">
      <t>テン</t>
    </rPh>
    <rPh sb="42" eb="44">
      <t>ジカン</t>
    </rPh>
    <rPh sb="45" eb="47">
      <t>テイデン</t>
    </rPh>
    <rPh sb="48" eb="50">
      <t>ケイカク</t>
    </rPh>
    <rPh sb="58" eb="60">
      <t>カクニン</t>
    </rPh>
    <rPh sb="66" eb="68">
      <t>エイキョウ</t>
    </rPh>
    <rPh sb="69" eb="72">
      <t>グタイテキ</t>
    </rPh>
    <rPh sb="73" eb="75">
      <t>ブンセキ</t>
    </rPh>
    <rPh sb="81" eb="82">
      <t>テン</t>
    </rPh>
    <rPh sb="131" eb="133">
      <t>ケッカ</t>
    </rPh>
    <phoneticPr fontId="18"/>
  </si>
  <si>
    <t>1点：計画停電による、サービス影響を想定している
2点：計画停電によって影響を受けるサービスの被害（サービス名、影響期間、影響内容）を想定している
3点：計画停電によって影響を受けるサービスの被害（サービス名、影響期間、影響内容）を想定した上で、具体的に対応や予防策を検討している</t>
    <rPh sb="3" eb="7">
      <t>ケイカクテイデン</t>
    </rPh>
    <rPh sb="15" eb="17">
      <t>エイキョウ</t>
    </rPh>
    <rPh sb="18" eb="20">
      <t>ソウテイ</t>
    </rPh>
    <rPh sb="39" eb="40">
      <t>ウ</t>
    </rPh>
    <rPh sb="47" eb="49">
      <t>ヒガイ</t>
    </rPh>
    <rPh sb="54" eb="55">
      <t>メイ</t>
    </rPh>
    <rPh sb="56" eb="60">
      <t>エイキョウキカン</t>
    </rPh>
    <rPh sb="61" eb="63">
      <t>エイキョウ</t>
    </rPh>
    <rPh sb="63" eb="65">
      <t>ナイヨウ</t>
    </rPh>
    <rPh sb="120" eb="121">
      <t>ウエ</t>
    </rPh>
    <phoneticPr fontId="18"/>
  </si>
  <si>
    <t>1点：計画停電に伴うサービスへの影響についての対応や予防策を検討している
2点：計画停電に伴うサービスへの影響影響（サービス名、影響期間、影響内容）に応じて、対応や予防策を具体的に検討している
3点：計画停電に伴うサービスへの影響影響（サービス名、影響期間、影響内容）に応じて、災害対応の全体像を想定しながら、先手先手で対応や予防策を具体的に検討している</t>
    <rPh sb="16" eb="18">
      <t>エイキョウ</t>
    </rPh>
    <rPh sb="75" eb="76">
      <t>オウ</t>
    </rPh>
    <rPh sb="86" eb="89">
      <t>グタイテキ</t>
    </rPh>
    <phoneticPr fontId="18"/>
  </si>
  <si>
    <t>シーン3</t>
  </si>
  <si>
    <t>発災翌日12時
NTTドコモ支社からNTTドコモビジネス支社へ「地方新聞社から至急の取材依頼が来ている」と電話がありました。
あなたならどのような行動を行いますか？
何を使用し、何を行うか具体的に記述して下さい。
※評価対象コンピテンシー：コミュニケーション力</t>
    <phoneticPr fontId="18"/>
  </si>
  <si>
    <t>発災3日後12時
お客様対応班より、「某都市銀行のサービス停止はNTTドコモビジネスのサービス影響によるものだと発表してほしい」と某都市銀行様から強く要求されていると連絡がありました。
あなたならどのような行動を行いますか？
何を使用し、何を行うか具体的に記述して下さい。
※評価対象コンピテンシー：コミュニケーション力、計画力</t>
    <phoneticPr fontId="18"/>
  </si>
  <si>
    <t>≪コミュニケーション力≫
・班内で指示/連絡をとろうとしている　１点
・班内、班間で具体的に意思疎通（傾聴＋伝達）している　２点
・組織や立場を超えて、付加価値を付けた上で自身の考えを意思疎通（傾聴＋伝達）している　３点</t>
    <phoneticPr fontId="18"/>
  </si>
  <si>
    <t>発災7日後12時
SNS上で、NTTドコモビジネスを名乗り「地震で被害を受けた方に料金を返還するので口座情報を教えてほしい」という不審メールが来たとの投稿が25件ありました。
あなたならどのような行動を行いますか？
何を使用し、何を行うか具体的に記述して下さい。
※評価対象コンピテンシー：情報分析力、計画力</t>
    <phoneticPr fontId="18"/>
  </si>
  <si>
    <t>発災7日後12時
日経新聞より「通信インフラの大地震対応を振り返る」という特集を組みたいと相談があり、サービス責任者への取材を申し込まれました。
あなたならどのような行動を行いますか？
何を使用し、何を行うか具体的に記述して下さい。
※評価対象コンピテンシー：コミュニケーション力、計画力</t>
    <phoneticPr fontId="18"/>
  </si>
  <si>
    <t>発災3日後12時
自班のTeamsチャットに、田町ビルの災対備蓄品がほぼ無くなったとの報告が入りました。
あなたならどのような行動をとりますか？
何を使用し、何を行うか具体的に記述して下さい。
※評価対象コンピテンシー：想像・先読み力、計画力</t>
  </si>
  <si>
    <t>1点：次に起こる事を想定しようとしている
2点：次に起こる事を想定した上で、必要な行動を具体的に検討している
3点：災対備蓄品の供給が迅速にできる場合と時間を要する場合などをいくつか想定し、想定に応じて必要な行動を具体的に検討している</t>
    <rPh sb="3" eb="4">
      <t>ツギ</t>
    </rPh>
    <rPh sb="35" eb="36">
      <t>ウエ</t>
    </rPh>
    <rPh sb="58" eb="63">
      <t>サイタイビチクヒン</t>
    </rPh>
    <rPh sb="64" eb="66">
      <t>キョウキュウ</t>
    </rPh>
    <rPh sb="67" eb="69">
      <t>ジンソク</t>
    </rPh>
    <rPh sb="73" eb="75">
      <t>バアイ</t>
    </rPh>
    <rPh sb="76" eb="78">
      <t>ジカン</t>
    </rPh>
    <rPh sb="79" eb="80">
      <t>ヨウ</t>
    </rPh>
    <rPh sb="82" eb="84">
      <t>バアイ</t>
    </rPh>
    <rPh sb="91" eb="93">
      <t>ソウテイ</t>
    </rPh>
    <rPh sb="95" eb="97">
      <t>ソウテイ</t>
    </rPh>
    <rPh sb="98" eb="99">
      <t>オウ</t>
    </rPh>
    <phoneticPr fontId="18"/>
  </si>
  <si>
    <t>1点：班内でできる対応を計画している
2点：通常稼働に向けて、復旧計画を立てている
3点：外部環境や田町ビルの状況、先読みした内容を踏まえて、近隣ビルからの災対備蓄品の供給や施設閉鎖、代替拠点準備など、具体的な復旧計画を立てている</t>
    <rPh sb="50" eb="52">
      <t>タマチ</t>
    </rPh>
    <rPh sb="58" eb="60">
      <t>サキヨ</t>
    </rPh>
    <rPh sb="63" eb="65">
      <t>ナイヨウ</t>
    </rPh>
    <rPh sb="66" eb="67">
      <t>フ</t>
    </rPh>
    <rPh sb="71" eb="73">
      <t>キンリン</t>
    </rPh>
    <rPh sb="78" eb="83">
      <t>サイタイビチクヒン</t>
    </rPh>
    <rPh sb="84" eb="86">
      <t>キョウキュウ</t>
    </rPh>
    <rPh sb="87" eb="89">
      <t>シセツ</t>
    </rPh>
    <rPh sb="89" eb="91">
      <t>ヘイサ</t>
    </rPh>
    <rPh sb="92" eb="96">
      <t>ダイタイキョテン</t>
    </rPh>
    <rPh sb="96" eb="98">
      <t>ジュンビ</t>
    </rPh>
    <phoneticPr fontId="18"/>
  </si>
  <si>
    <t>発災3日後12時
NTTドコモビジネスのオフィスビルにおいては、猿楽ビル玄関以外はほぼ通常稼働に回復していることが、自班のTeamsチャットで確認できました。
猿楽ビルに対して、あなたならどのような行動をとりますか？
何を使用し、何を行うか具体的に記述して下さい。
※評価対象コンピテンシー：コミュニケーション力、計画力</t>
    <phoneticPr fontId="18"/>
  </si>
  <si>
    <t>1点：猿楽ビル関係者と連絡をとろうとしている
2点：通常稼働に向けて、猿楽ビル関係者と積極的にコミュニケーションをとっている
3点：復旧計画を遂行するために、組織や立場を超えて関係者（災害対策本部や首都圏組織など）と積極的にコミュニケーションをとっている</t>
    <rPh sb="7" eb="10">
      <t>カンケイシャ</t>
    </rPh>
    <rPh sb="11" eb="13">
      <t>レンラク</t>
    </rPh>
    <rPh sb="43" eb="46">
      <t>セッキョクテキ</t>
    </rPh>
    <rPh sb="66" eb="70">
      <t>フッキュウケイカク</t>
    </rPh>
    <rPh sb="71" eb="73">
      <t>スイコウ</t>
    </rPh>
    <rPh sb="88" eb="91">
      <t>カンケイシャ</t>
    </rPh>
    <rPh sb="92" eb="98">
      <t>サイガイタイサクホンブ</t>
    </rPh>
    <rPh sb="99" eb="102">
      <t>シュトケン</t>
    </rPh>
    <rPh sb="108" eb="111">
      <t>セッキョクテキ</t>
    </rPh>
    <phoneticPr fontId="18"/>
  </si>
  <si>
    <t>1点：班内でできる対応を計画している
2点：通常稼働に向けて、復旧計画を立てている
3点：外部環境変化や猿楽ビルの状況を考慮した上で、通常稼働に向けて、具体的な復旧計画を立てている</t>
    <rPh sb="31" eb="33">
      <t>フッキュウ</t>
    </rPh>
    <rPh sb="33" eb="35">
      <t>ケイカク</t>
    </rPh>
    <rPh sb="45" eb="49">
      <t>ガイブカンキョウ</t>
    </rPh>
    <rPh sb="49" eb="51">
      <t>ヘンカ</t>
    </rPh>
    <rPh sb="52" eb="54">
      <t>エンラク</t>
    </rPh>
    <rPh sb="57" eb="59">
      <t>ジョウキョウ</t>
    </rPh>
    <rPh sb="60" eb="62">
      <t>コウリョ</t>
    </rPh>
    <rPh sb="64" eb="65">
      <t>ウエ</t>
    </rPh>
    <rPh sb="76" eb="79">
      <t>グタイテキ</t>
    </rPh>
    <phoneticPr fontId="18"/>
  </si>
  <si>
    <t>発災3日後18時
地震発生から72時間後の安否集計結果が、回答数10,500名。1割程度が本人・家族・家屋に被害発生。業務可能者は出社・リモートを含め7割程度。怪我の他に発熱症状の社員、家族報告が増加。
あなたならどのような行動をとりますか？
何を使用し、何を行うか具体的に記述して下さい。
※評価対象コンピテンシー：コミュニケーション力、情報分析力、計画力</t>
  </si>
  <si>
    <t>1点：被災社員やけが人、体調不良者と連絡をとろうとしている
2点：被災社員やけが人、体調不良者と積極的にコミュニケーションをとっている
3点：被災社員支援やけが人、体調不良者対応に向けて、組織や立場を超えて関係者と積極的にコミュニケーションをとっている</t>
    <rPh sb="3" eb="7">
      <t>ヒサイシャイン</t>
    </rPh>
    <rPh sb="10" eb="11">
      <t>ニン</t>
    </rPh>
    <rPh sb="12" eb="17">
      <t>タイチョウフリョウシャ</t>
    </rPh>
    <rPh sb="71" eb="75">
      <t>ヒサイシャイン</t>
    </rPh>
    <rPh sb="75" eb="77">
      <t>シエン</t>
    </rPh>
    <rPh sb="82" eb="87">
      <t>タイチョウフリョウシャ</t>
    </rPh>
    <rPh sb="87" eb="89">
      <t>タイオウ</t>
    </rPh>
    <rPh sb="90" eb="91">
      <t>ム</t>
    </rPh>
    <phoneticPr fontId="18"/>
  </si>
  <si>
    <t>1点：事業継続への影響を確認している
2点：事業継続に対して重大な影響を及ぼす可能性がある因子（特定の組織やスキル保有者の欠勤など）を特定している
3点：事業継続に対して重大な影響を及ぼす可能性がある因子（特定の組織やスキル保有者の欠勤など）を特定した上で、最悪の事態に対応するための行動を起こしている</t>
    <rPh sb="3" eb="5">
      <t>ジギョウ</t>
    </rPh>
    <rPh sb="5" eb="7">
      <t>ケイゾク</t>
    </rPh>
    <rPh sb="27" eb="28">
      <t>タイ</t>
    </rPh>
    <rPh sb="48" eb="50">
      <t>トクテイ</t>
    </rPh>
    <rPh sb="51" eb="53">
      <t>ソシキ</t>
    </rPh>
    <rPh sb="57" eb="60">
      <t>ホユウシャ</t>
    </rPh>
    <rPh sb="61" eb="63">
      <t>ケッキン</t>
    </rPh>
    <rPh sb="126" eb="127">
      <t>ウエ</t>
    </rPh>
    <phoneticPr fontId="18"/>
  </si>
  <si>
    <t>1点：班内でできる対応を計画している
2点：安否確認や被災社員、けが人、体調不良者への対応を計画している
3点：安否確認や被災社員、けが人、体調不良者への対応を網羅的に具体的（電話、メール、SNS、171など）に計画している</t>
    <rPh sb="22" eb="26">
      <t>アンピカクニン</t>
    </rPh>
    <rPh sb="27" eb="31">
      <t>ヒサイシャイン</t>
    </rPh>
    <rPh sb="36" eb="41">
      <t>タイチョウフリョウシャ</t>
    </rPh>
    <rPh sb="43" eb="45">
      <t>タイオウ</t>
    </rPh>
    <rPh sb="46" eb="48">
      <t>ケイカク</t>
    </rPh>
    <rPh sb="80" eb="83">
      <t>モウラテキ</t>
    </rPh>
    <phoneticPr fontId="18"/>
  </si>
  <si>
    <t>発災7日後12時
安否が不明な社員が21名、パートナー社員が35名います。各所属組織が連絡を試みていますが、未だ連絡がとれません。
あなたならどのような行動をとりますか？
何を使用し、何を行うか具体的に記述して下さい。
※評価対象コンピテンシー：コミュニケーション力、想像・先読み力、計画力</t>
  </si>
  <si>
    <t>1点：安否不明者と連絡をとろうとしている
2点：安否確認に向けて、安否不明者の関係者とコミュニケーションをとっている
3点：安否確認の計画遂行に向けて、組織や立場を超えて関係者（人材派遣会社含む）と積極的にコミュニケーションをとっている</t>
    <rPh sb="3" eb="8">
      <t>アンピフメイシャ</t>
    </rPh>
    <rPh sb="24" eb="26">
      <t>アンピ</t>
    </rPh>
    <rPh sb="26" eb="28">
      <t>カクニン</t>
    </rPh>
    <rPh sb="29" eb="30">
      <t>ム</t>
    </rPh>
    <rPh sb="33" eb="38">
      <t>アンピフメイシャ</t>
    </rPh>
    <rPh sb="39" eb="42">
      <t>カンケイシャ</t>
    </rPh>
    <rPh sb="67" eb="69">
      <t>ケイカク</t>
    </rPh>
    <rPh sb="69" eb="71">
      <t>スイコウ</t>
    </rPh>
    <rPh sb="85" eb="88">
      <t>カンケイシャ</t>
    </rPh>
    <rPh sb="89" eb="95">
      <t>ジンザイハケンガイシャ</t>
    </rPh>
    <rPh sb="95" eb="96">
      <t>フク</t>
    </rPh>
    <phoneticPr fontId="18"/>
  </si>
  <si>
    <t>1点：次に起こる事を想定しようとしている
2点：次に起こる事を想定した上で、必要な行動を具体的に検討している
3点：安否不明者の居住地域や行動履歴から置かれている状況などを複数想定し、想定に応じて必要な行動を具体的に検討している</t>
    <rPh sb="58" eb="63">
      <t>アンピフメイシャ</t>
    </rPh>
    <rPh sb="64" eb="68">
      <t>キョジュウチイキ</t>
    </rPh>
    <rPh sb="69" eb="73">
      <t>コウドウリレキ</t>
    </rPh>
    <rPh sb="75" eb="76">
      <t>オ</t>
    </rPh>
    <rPh sb="81" eb="83">
      <t>ジョウキョウ</t>
    </rPh>
    <rPh sb="86" eb="88">
      <t>フクスウ</t>
    </rPh>
    <phoneticPr fontId="18"/>
  </si>
  <si>
    <t>1点：班内でできる対応を計画している
2点：安否確認に向けて、必要な対応を計画している
3点：安否確認に向けて、家族や友人関係、メディア、SNS情報など、複数の手段を計画している</t>
    <rPh sb="27" eb="28">
      <t>ム</t>
    </rPh>
    <rPh sb="31" eb="33">
      <t>ヒツヨウ</t>
    </rPh>
    <rPh sb="52" eb="53">
      <t>ム</t>
    </rPh>
    <rPh sb="56" eb="58">
      <t>カゾク</t>
    </rPh>
    <rPh sb="59" eb="63">
      <t>ユウジンカンケイ</t>
    </rPh>
    <rPh sb="72" eb="74">
      <t>ジョウホウ</t>
    </rPh>
    <rPh sb="77" eb="79">
      <t>フクスウ</t>
    </rPh>
    <rPh sb="80" eb="82">
      <t>シュダン</t>
    </rPh>
    <phoneticPr fontId="18"/>
  </si>
  <si>
    <t>発災3日後12時
班間連携チャネルにて、お客様対応班より防衛省から問い合わせが入ったとの情報がありました。「東京、神奈川、千葉、埼玉の臨時回線の準備はまだですか？」
あなたならどのような行動をとりますか？
何を使用し、何を行うか具体的に記述して下さい。
※評価対象コンピテンシー：情報収集力、情報分析力</t>
    <phoneticPr fontId="18"/>
  </si>
  <si>
    <t>1点：自らオーダーの発出元と発出状況を確認しようとしている
2点：指示をしてオーダーの発出元と発出状況を確認し、催促をしている
3点：迅速に指示をしてオーダーの発出元と発出状況を確認や催促をしながら、お客様へ回答するための情報収集を行っている</t>
    <rPh sb="56" eb="58">
      <t>サイソク</t>
    </rPh>
    <rPh sb="67" eb="69">
      <t>ジンソク</t>
    </rPh>
    <rPh sb="116" eb="117">
      <t>オコナ</t>
    </rPh>
    <phoneticPr fontId="18"/>
  </si>
  <si>
    <t xml:space="preserve">1点：遅れの原因を分析、確認しようとしている
2点：遅れの原因を分析、確認し、サービスへの重大な影響を及ぼす可能性がある因子を特定している
3点：遅れの原因を分析、確認し、サービスへの重大な影響を及ぼす可能性がある因子を特定した上で、災対本部など、班間でのサポートを要請する等の行動を起こしている
</t>
    <rPh sb="3" eb="4">
      <t>オク</t>
    </rPh>
    <rPh sb="6" eb="8">
      <t>ゲンイン</t>
    </rPh>
    <rPh sb="9" eb="11">
      <t>ブンセキ</t>
    </rPh>
    <phoneticPr fontId="18"/>
  </si>
  <si>
    <t>発災3日後12時
全社情報共有の会議で、NTT東日本によるアクセスラインの復旧が始まっていると情報が共有されました。それを受けて、お客様対応班からは早期復旧優先依頼がリストとして提示されました。
あなたならどのような行動をとりますか？
何を使用し、何を行うか具体的に記述して下さい。
※評価対象コンピテンシー：コミュニケーション力、計画力</t>
    <rPh sb="17" eb="19">
      <t>カイギ</t>
    </rPh>
    <phoneticPr fontId="18"/>
  </si>
  <si>
    <t>1点：関係者と連絡をとろうとしている
2点：班内外の関係者（TOC、情報統括班、お客様対応班など）とコミュニケーションをとっている
3点：状況により、幹部を含めて組織や立場を超えて班内外の関係者（TOC、情報統括班、お客様対応班など）とコミュニケーションをとっている</t>
    <rPh sb="3" eb="6">
      <t>カンケイシャ</t>
    </rPh>
    <rPh sb="22" eb="25">
      <t>ハンナイガイ</t>
    </rPh>
    <rPh sb="26" eb="29">
      <t>カンケイシャ</t>
    </rPh>
    <rPh sb="34" eb="39">
      <t>ジョウホウトウカツハン</t>
    </rPh>
    <rPh sb="41" eb="46">
      <t>キャクサマタイオウハン</t>
    </rPh>
    <phoneticPr fontId="18"/>
  </si>
  <si>
    <t>1点：班内でできる対応を計画している
2点：早期復旧優先依頼リスト元に、必要な対応を計画している
3点：早期復旧優先依頼リスト元に、必要な対応を計画している。現地のお客様側対応者も確認するなど、無効派遣とならないための対策がとられている。</t>
    <rPh sb="22" eb="26">
      <t>ソウキフッキュウ</t>
    </rPh>
    <rPh sb="26" eb="30">
      <t>ユウセンイライ</t>
    </rPh>
    <rPh sb="33" eb="34">
      <t>モト</t>
    </rPh>
    <rPh sb="109" eb="111">
      <t>タイサク</t>
    </rPh>
    <phoneticPr fontId="18"/>
  </si>
  <si>
    <t>発災3日後12時
班間連携チャネルにて、お客様対応班から「モバイル基地局のバッテリー切れに伴い、携帯電話の不通およびワイヤレスアクセス系のお客様お問い合わせが増えてきました。」との情報が入ってきました。
あなたならどのような行動をとりますか？
何を使用し、何を行うか具体的に記述して下さい。
※評価対象コンピテンシー：情報収集力、想像・先読み力</t>
    <phoneticPr fontId="18"/>
  </si>
  <si>
    <t xml:space="preserve">1点：自ら情報収集しようとしている
2点：指示をしてお客様の問合せエリアや今後の復旧計画について情報収集している
3点：指示をしてお客様の問合せエリアや今後の復旧計画、電力会社の復旧状況など社内外、班内外から必要な情報を先手先手で収集している
</t>
    <rPh sb="84" eb="88">
      <t>デンリョクガイシャ</t>
    </rPh>
    <rPh sb="89" eb="91">
      <t>フッキュウ</t>
    </rPh>
    <rPh sb="91" eb="93">
      <t>ジョウキョウ</t>
    </rPh>
    <rPh sb="95" eb="98">
      <t>シャナイガイ</t>
    </rPh>
    <rPh sb="99" eb="102">
      <t>ハンナイガイ</t>
    </rPh>
    <rPh sb="104" eb="106">
      <t>ヒツヨウ</t>
    </rPh>
    <phoneticPr fontId="18"/>
  </si>
  <si>
    <t xml:space="preserve">1点：次に起こる事を想定しようとしている
2点：次に起こる事を想定した上で、必要な行動を具体的に検討している
3点：事態が悪化すること（電力会社の復旧作業の遅れなど）を想定し、必要な対策、対応を具体的に検討している
</t>
    <rPh sb="58" eb="60">
      <t>ジタイ</t>
    </rPh>
    <rPh sb="61" eb="63">
      <t>アッカ</t>
    </rPh>
    <rPh sb="68" eb="72">
      <t>デンリョクガイシャ</t>
    </rPh>
    <rPh sb="73" eb="77">
      <t>フッキュウサギョウ</t>
    </rPh>
    <rPh sb="78" eb="79">
      <t>オク</t>
    </rPh>
    <rPh sb="84" eb="86">
      <t>ソウテイ</t>
    </rPh>
    <rPh sb="91" eb="93">
      <t>タイサク</t>
    </rPh>
    <rPh sb="94" eb="96">
      <t>タイオウ</t>
    </rPh>
    <phoneticPr fontId="18"/>
  </si>
  <si>
    <t>発災3日後12時
全社情報共有の会議にて広報班から「メディアから『被害状況は？復旧の目途はたっているんですか？』というような問い合わせが多数入っている。」との情報が共有されました。
あなたならどのような行動をとりますか？
何を使用し、何を行うか具体的に記述して下さい。
※評価対象コンピテンシー：コミュニケーション力、情報収集力</t>
    <rPh sb="17" eb="19">
      <t>カイギ</t>
    </rPh>
    <phoneticPr fontId="18"/>
  </si>
  <si>
    <t>1点：関係者と連絡をとろうとしている
2点：班内外の関係者（お客様対応班、広報班、情報統括班など）とコミュニケーションをとっている
3点：班内外の関係者（お客様対応班、広報班、情報統括班など）とコミュニケーションをとりながら、情報発信の方針や内容を調整している</t>
    <rPh sb="113" eb="117">
      <t>ジョウホウハッシン</t>
    </rPh>
    <rPh sb="118" eb="120">
      <t>ホウシン</t>
    </rPh>
    <rPh sb="121" eb="123">
      <t>ナイヨウ</t>
    </rPh>
    <rPh sb="124" eb="126">
      <t>チョウセイ</t>
    </rPh>
    <phoneticPr fontId="18"/>
  </si>
  <si>
    <t>1点：自ら情報収集しようとしている
2点：班内からサービス運用状況（復旧計画）、関係者（お客様対応班、広報班、情報統括班など）から必要な情報収集をしている
3点：班内からサービス運用状況（復旧計画）、関係者（お客様対応班、広報班、情報統括班など）から情報発信の方針や内容検討に必要な情報収集をしている</t>
    <rPh sb="65" eb="67">
      <t>ヒツヨウ</t>
    </rPh>
    <rPh sb="125" eb="129">
      <t>ジョウホウハッシン</t>
    </rPh>
    <phoneticPr fontId="18"/>
  </si>
  <si>
    <t>発災翌日18時
発災翌日、以下の顧客から同時に復旧に関する問い合わせが発生しています。
医療機関・自治体
金融機関
一般法人（複数拠点を持つ企業）
対応の優先順位付けのために、追加でどのような情報収集が必要ですか？
※評価対象コンピテンシー：情報収集力、情報分析力</t>
    <rPh sb="0" eb="2">
      <t>ハッサイ</t>
    </rPh>
    <rPh sb="6" eb="7">
      <t>ジ</t>
    </rPh>
    <rPh sb="24" eb="26">
      <t>フッキュウ</t>
    </rPh>
    <rPh sb="27" eb="28">
      <t>カン</t>
    </rPh>
    <rPh sb="77" eb="79">
      <t>タイオウ</t>
    </rPh>
    <rPh sb="80" eb="85">
      <t>ユウセンジュンイヅ</t>
    </rPh>
    <rPh sb="91" eb="93">
      <t>ツイカ</t>
    </rPh>
    <rPh sb="104" eb="106">
      <t>ヒツヨウ</t>
    </rPh>
    <rPh sb="131" eb="133">
      <t>ジョウホウ</t>
    </rPh>
    <rPh sb="133" eb="136">
      <t>ブンセキリョク</t>
    </rPh>
    <phoneticPr fontId="18"/>
  </si>
  <si>
    <t>≪情報収集力≫どういう情報に元づいて、トリアージ（優先度付け）するかを検討できている。
・あいまいな情報、情報の羅列のみ　1点
・状況を取りまとめていて分析に役に立つ項目の収集　２点
・分析がしやすいリストになっている　3点</t>
    <phoneticPr fontId="18"/>
  </si>
  <si>
    <t>≪情報分析力≫
・優先順位が正しくない　1点
・優先順位は正しいが、売り上げの多さで見ている　2点
・模範解答もしくは、災害等対策規程の文言の記載　3点
災害等対策規程上の優先順位の考え方
1. 医療機関・自治体（人命・公共機能に直結）　
2. 金融機関（社会インフラ・信用への影響）
3. 一般法人（影響度・拠点数に応じて調整）
「大口顧客順」としない理由
災害時は「契約規模」より「社会的影響」が優先される。不適切な優先付けは、会社全体の信頼低下につながる</t>
    <phoneticPr fontId="18"/>
  </si>
  <si>
    <t>発災3日後12時
営業担当経由で、防衛省から問い合わせが入ってきました。
「東京、神奈川、千葉、埼玉の臨時回線の準備はまだですか？」
現状の臨時回線開通の進捗状況については、終点側のアクセス回線の被災により空きがなく、今後2～3日程度かかることが見込まれるとNTT東日本から情報を入手しています。
あなたならどのような行動を行いますか？
何を使用し、何を行うか具体的に記述して下さい。
※評価対象コンピテンシー：情報収集力</t>
    <rPh sb="135" eb="137">
      <t>ニホン</t>
    </rPh>
    <phoneticPr fontId="18"/>
  </si>
  <si>
    <t xml:space="preserve">≪情報収集力≫
・アカウント営業を探して対応してもらおうとする　１点
・特定のお客さまへの対応について、自身が主管ではなかったとしても、混乱が生じている中で
　適切なルートへ誘導することができれば　２点
・復旧作業に従事するお客さまの回線復旧のため、最優先での対応が行えれば　３点
　（特定のユーザに特化した対応（迅速性）ができていればよい）
</t>
    <rPh sb="14" eb="16">
      <t>エイギョウ</t>
    </rPh>
    <rPh sb="17" eb="18">
      <t>サガ</t>
    </rPh>
    <rPh sb="20" eb="22">
      <t>タイオウ</t>
    </rPh>
    <rPh sb="33" eb="34">
      <t>テン</t>
    </rPh>
    <rPh sb="36" eb="38">
      <t>トクテイ</t>
    </rPh>
    <rPh sb="100" eb="101">
      <t>テン</t>
    </rPh>
    <rPh sb="103" eb="105">
      <t>フッキュウ</t>
    </rPh>
    <rPh sb="105" eb="107">
      <t>サギョウ</t>
    </rPh>
    <rPh sb="108" eb="110">
      <t>ジュウジ</t>
    </rPh>
    <rPh sb="139" eb="140">
      <t>テン</t>
    </rPh>
    <rPh sb="143" eb="145">
      <t>トクテイ</t>
    </rPh>
    <rPh sb="157" eb="160">
      <t>ジンソクセイ</t>
    </rPh>
    <phoneticPr fontId="18"/>
  </si>
  <si>
    <t>発災3日後12時
自班のTeams会議で、各組織の班員から通信の復旧見込みについてお客様からの問い合わせが殺到している。と相談が上がっています。
お客様より復旧見込みの問い合わせを受けた際に、どのような手順で誰に何の確認を行いますか？
※評価対象コンピテンシー：情報収集力、計画力</t>
  </si>
  <si>
    <t>≪情報収集力≫
・お客さまからの問合せが来ていることを班内に共有する行動　1点
・とにかく記録に残す　1点
・班内の情報を確認、収集する行動までを実施　２点
・お客様の設置場所の被災状況を把握し、お客様との連携した復旧活動を班内で立案できる　　　2点
・班をまたがる情報収集行動を示して　３点
・アクセスラインの復旧状況の把握と、お客様の復旧状況から、復旧優先順を策定した提案をサービス班に行える　3点</t>
    <rPh sb="45" eb="47">
      <t>キロク</t>
    </rPh>
    <rPh sb="48" eb="49">
      <t>ノコ</t>
    </rPh>
    <rPh sb="52" eb="53">
      <t>テン</t>
    </rPh>
    <rPh sb="81" eb="83">
      <t>キャクサマ</t>
    </rPh>
    <rPh sb="156" eb="160">
      <t>フッキュウジョウキョウ</t>
    </rPh>
    <rPh sb="161" eb="163">
      <t>ハアク</t>
    </rPh>
    <rPh sb="166" eb="168">
      <t>キャクサマ</t>
    </rPh>
    <rPh sb="169" eb="171">
      <t>フッキュウ</t>
    </rPh>
    <rPh sb="171" eb="173">
      <t>ジョウキョウ</t>
    </rPh>
    <rPh sb="176" eb="178">
      <t>フッキュウ</t>
    </rPh>
    <rPh sb="178" eb="181">
      <t>ユウセンジュン</t>
    </rPh>
    <rPh sb="182" eb="184">
      <t>サクテイ</t>
    </rPh>
    <rPh sb="186" eb="188">
      <t>テイアン</t>
    </rPh>
    <rPh sb="193" eb="194">
      <t>ハン</t>
    </rPh>
    <rPh sb="195" eb="196">
      <t>オコナ</t>
    </rPh>
    <rPh sb="200" eb="201">
      <t>テン</t>
    </rPh>
    <phoneticPr fontId="18"/>
  </si>
  <si>
    <t>≪計画力≫
・会社として共通の回答案を確認するまでの行動を行えば　１点
・共通の回答できないのであれば、できないなりの理論を準備するまでを実施　２点
・回答するためのヒヤリング項目の精査を提案　2点　
・回答可能な情報を集めるために、他班へ情報提供のお願いを行うなど、手を尽くす　３点</t>
    <rPh sb="1" eb="4">
      <t>ケイカクリョク</t>
    </rPh>
    <rPh sb="7" eb="9">
      <t>カイシャ</t>
    </rPh>
    <rPh sb="12" eb="14">
      <t>キョウツウ</t>
    </rPh>
    <rPh sb="15" eb="17">
      <t>カイトウ</t>
    </rPh>
    <rPh sb="17" eb="18">
      <t>アン</t>
    </rPh>
    <rPh sb="19" eb="21">
      <t>カクニン</t>
    </rPh>
    <rPh sb="26" eb="28">
      <t>コウドウ</t>
    </rPh>
    <rPh sb="29" eb="30">
      <t>オコナ</t>
    </rPh>
    <rPh sb="34" eb="35">
      <t>テン</t>
    </rPh>
    <rPh sb="37" eb="39">
      <t>キョウツウ</t>
    </rPh>
    <rPh sb="40" eb="42">
      <t>カイトウ</t>
    </rPh>
    <rPh sb="59" eb="61">
      <t>リロン</t>
    </rPh>
    <rPh sb="62" eb="64">
      <t>ジュンビ</t>
    </rPh>
    <rPh sb="69" eb="71">
      <t>ジッシ</t>
    </rPh>
    <rPh sb="73" eb="74">
      <t>テン</t>
    </rPh>
    <rPh sb="76" eb="78">
      <t>カイトウ</t>
    </rPh>
    <rPh sb="88" eb="90">
      <t>コウモク</t>
    </rPh>
    <rPh sb="91" eb="93">
      <t>セイサ</t>
    </rPh>
    <rPh sb="94" eb="96">
      <t>テイアン</t>
    </rPh>
    <rPh sb="98" eb="99">
      <t>テン</t>
    </rPh>
    <rPh sb="102" eb="104">
      <t>カイトウ</t>
    </rPh>
    <rPh sb="104" eb="106">
      <t>カノウ</t>
    </rPh>
    <rPh sb="107" eb="109">
      <t>ジョウホウ</t>
    </rPh>
    <rPh sb="110" eb="111">
      <t>アツ</t>
    </rPh>
    <rPh sb="117" eb="119">
      <t>タハン</t>
    </rPh>
    <rPh sb="120" eb="122">
      <t>ジョウホウ</t>
    </rPh>
    <rPh sb="122" eb="124">
      <t>テイキョウ</t>
    </rPh>
    <rPh sb="126" eb="127">
      <t>ネガ</t>
    </rPh>
    <rPh sb="129" eb="130">
      <t>オコナ</t>
    </rPh>
    <rPh sb="134" eb="135">
      <t>テ</t>
    </rPh>
    <rPh sb="136" eb="137">
      <t>ツ</t>
    </rPh>
    <rPh sb="141" eb="142">
      <t>テン</t>
    </rPh>
    <phoneticPr fontId="18"/>
  </si>
  <si>
    <t>発災3日後18時
復旧見込みの回答後、自班のTeams会議で、自身の被災が比較的軽い複数のお客様より早期復旧の依頼が殺到し始めました。
複数のお客様からの復旧依頼に対して、何を使用し、何を行うか具体的に記述して下さい。
※評価対象コンピテンシー：計画力</t>
  </si>
  <si>
    <t xml:space="preserve">≪計画力≫
・複数のお客さまからの問合せ状況を取り纏め、班内に展開する行動　1点
・現時点での復旧対応方針の確認と、回答案の確認を行い対応することで　２点
・サービス班及び情報統括班へ対象となるお客様リストと共に早期復旧依頼を行う行動を示す　３点
</t>
    <rPh sb="1" eb="4">
      <t>ケイカクリョク</t>
    </rPh>
    <rPh sb="7" eb="9">
      <t>フクスウ</t>
    </rPh>
    <rPh sb="11" eb="12">
      <t>キャク</t>
    </rPh>
    <rPh sb="17" eb="19">
      <t>トイアワ</t>
    </rPh>
    <rPh sb="20" eb="22">
      <t>ジョウキョウ</t>
    </rPh>
    <rPh sb="23" eb="24">
      <t>ト</t>
    </rPh>
    <rPh sb="25" eb="26">
      <t>マト</t>
    </rPh>
    <rPh sb="28" eb="30">
      <t>ハンナイ</t>
    </rPh>
    <rPh sb="31" eb="33">
      <t>テンカイ</t>
    </rPh>
    <rPh sb="35" eb="37">
      <t>コウドウ</t>
    </rPh>
    <rPh sb="39" eb="40">
      <t>テン</t>
    </rPh>
    <rPh sb="42" eb="45">
      <t>ゲンジテン</t>
    </rPh>
    <rPh sb="47" eb="49">
      <t>フッキュウ</t>
    </rPh>
    <rPh sb="49" eb="51">
      <t>タイオウ</t>
    </rPh>
    <rPh sb="51" eb="53">
      <t>ホウシン</t>
    </rPh>
    <rPh sb="54" eb="56">
      <t>カクニン</t>
    </rPh>
    <rPh sb="58" eb="60">
      <t>カイトウ</t>
    </rPh>
    <rPh sb="60" eb="61">
      <t>アン</t>
    </rPh>
    <rPh sb="62" eb="64">
      <t>カクニン</t>
    </rPh>
    <rPh sb="65" eb="66">
      <t>オコナ</t>
    </rPh>
    <rPh sb="67" eb="69">
      <t>タイオウ</t>
    </rPh>
    <rPh sb="76" eb="77">
      <t>テン</t>
    </rPh>
    <rPh sb="113" eb="114">
      <t>オコナ</t>
    </rPh>
    <rPh sb="115" eb="117">
      <t>コウドウ</t>
    </rPh>
    <rPh sb="118" eb="119">
      <t>シメ</t>
    </rPh>
    <rPh sb="122" eb="123">
      <t>テン</t>
    </rPh>
    <phoneticPr fontId="18"/>
  </si>
  <si>
    <t>発災翌日18時
西日本初動本部から東京へ引継ぎが完了しました。
翌日９時に災害対策本部会議が開催されます。
あなたならどのような行動をとりますか？
何を使用し、何を行うか具体的に記述して下さい。
※評価対象コンピテンシー：コミュニケーション力、計画力</t>
    <phoneticPr fontId="18"/>
  </si>
  <si>
    <t>発災3日後12時
NTTグループ内の他社より、移動電源車の借用依頼がきました。
ご自身で検討や対応するもの、誰かに指示を出して依頼するもの等、具体的に教えて下さい。
※評価対象コンピテンシー：コミュニケーション力、想像・先読み力、計画力</t>
  </si>
  <si>
    <t>1点：関係者と連絡をとろうとしている
2点：移動電源車の運用関係者や借用依頼元とコミュニケーションをとっている
3点：移動電源車の運用関係者や借用依頼元とコミュニケーションをとりながら、自社を優先としつつも貸出しに向けて臨機応変に調整しようとしている</t>
    <rPh sb="22" eb="27">
      <t>イドウデンゲンシャ</t>
    </rPh>
    <rPh sb="28" eb="33">
      <t>ウンヨウカンケイシャ</t>
    </rPh>
    <rPh sb="71" eb="73">
      <t>シャクヨウ</t>
    </rPh>
    <rPh sb="93" eb="95">
      <t>ジシャ</t>
    </rPh>
    <rPh sb="96" eb="98">
      <t>ユウセン</t>
    </rPh>
    <rPh sb="103" eb="105">
      <t>カシダシ</t>
    </rPh>
    <rPh sb="107" eb="108">
      <t>ム</t>
    </rPh>
    <rPh sb="110" eb="114">
      <t>リンキオウヘン</t>
    </rPh>
    <phoneticPr fontId="18"/>
  </si>
  <si>
    <t>1点：次に起こる事を想定しようとしている
2点：次に起こる事を想定した上で、必要な行動を具体的に検討している
3点：事態が悪化すること（移動電源車の必要量の増加など）を想定し、必要な対策、対応を具体的に検討している</t>
    <rPh sb="68" eb="73">
      <t>イドウデンゲンシャ</t>
    </rPh>
    <rPh sb="74" eb="76">
      <t>ヒツヨウ</t>
    </rPh>
    <rPh sb="76" eb="77">
      <t>リョウ</t>
    </rPh>
    <rPh sb="78" eb="80">
      <t>ゾウカ</t>
    </rPh>
    <phoneticPr fontId="18"/>
  </si>
  <si>
    <t>1点：班内でできる対応を計画している
2点：復旧に向けて必要な対応を計画している
3点：事態の悪化を想定した上で、復旧に向けて委託先（AE社など）と連携をとりながら、必要な対応を計画している</t>
    <rPh sb="44" eb="46">
      <t>ジタイ</t>
    </rPh>
    <rPh sb="47" eb="49">
      <t>アッカ</t>
    </rPh>
    <rPh sb="50" eb="52">
      <t>ソウテイ</t>
    </rPh>
    <rPh sb="54" eb="55">
      <t>ウエ</t>
    </rPh>
    <phoneticPr fontId="18"/>
  </si>
  <si>
    <t>発災3日後12時
設備班内から「停電復電時にビル内UPS1台についてバイパス給電となってます。」との報告がありました。
誰にどのような指示を出しますか？
※評価対象コンピテンシー：情報収集力、計画力</t>
  </si>
  <si>
    <t>1点：自ら情報収集しようとしている
2点：指示をして設備状況やサービス影響について情報収集している
3点：指示をして復旧計画に基づいて、必要な情報を先手先手で委託先（AE社）を含めて収集している</t>
    <rPh sb="26" eb="28">
      <t>セツビ</t>
    </rPh>
    <rPh sb="28" eb="30">
      <t>ジョウキョウ</t>
    </rPh>
    <rPh sb="35" eb="37">
      <t>エイキョウ</t>
    </rPh>
    <rPh sb="63" eb="64">
      <t>モト</t>
    </rPh>
    <rPh sb="85" eb="86">
      <t>シャ</t>
    </rPh>
    <phoneticPr fontId="18"/>
  </si>
  <si>
    <t>1点：班内でできる対応を計画している
2点：復旧に向けて必要な対応を計画している
3点：復旧に向けて委託先（AE社など）と連携をとりながら、必要な対応を計画している</t>
    <rPh sb="22" eb="24">
      <t>フッキュウ</t>
    </rPh>
    <rPh sb="25" eb="26">
      <t>ム</t>
    </rPh>
    <rPh sb="50" eb="53">
      <t>イタクサキ</t>
    </rPh>
    <rPh sb="56" eb="57">
      <t>シャ</t>
    </rPh>
    <rPh sb="61" eb="63">
      <t>レンケイ</t>
    </rPh>
    <phoneticPr fontId="18"/>
  </si>
  <si>
    <t>発災3日後12時
設備班内から「中継ケーブル被災の仮復旧案を検討したが、ケーブルの仮復旧までには長期化の恐れがある。」との報告がありました。
誰にどのような指示を出しますか？
※評価対象コンピテンシー：想像・先読み力、計画力</t>
  </si>
  <si>
    <t>1点：事態の長期化を想定している
2点：事態の長期化を想定した上で、必要な対応を具体的に検討している
3点：事態の長期化や悪化を複数想定し、それぞれに必要な対応や対策を具体的に計画している</t>
    <rPh sb="3" eb="5">
      <t>ジタイ</t>
    </rPh>
    <rPh sb="6" eb="9">
      <t>チョウキカ</t>
    </rPh>
    <rPh sb="37" eb="39">
      <t>タイオウ</t>
    </rPh>
    <rPh sb="57" eb="60">
      <t>チョウキカ</t>
    </rPh>
    <rPh sb="64" eb="66">
      <t>フクスウ</t>
    </rPh>
    <rPh sb="78" eb="80">
      <t>タイオウ</t>
    </rPh>
    <rPh sb="81" eb="83">
      <t>タイサク</t>
    </rPh>
    <rPh sb="88" eb="90">
      <t>ケイカク</t>
    </rPh>
    <phoneticPr fontId="18"/>
  </si>
  <si>
    <t>1点：班内でできる対応を計画している
2点：事態の長期化を前提とした対応を計画している
3点：事態の長期化や悪化を前提として、災害対策本部や他班と連携して、必要な対応や対策、防止策を具体的に計画している</t>
    <rPh sb="22" eb="24">
      <t>ジタイ</t>
    </rPh>
    <rPh sb="25" eb="28">
      <t>チョウキカ</t>
    </rPh>
    <rPh sb="29" eb="31">
      <t>ゼンテイ</t>
    </rPh>
    <rPh sb="57" eb="59">
      <t>ゼンテイ</t>
    </rPh>
    <rPh sb="87" eb="90">
      <t>ボウシサク</t>
    </rPh>
    <phoneticPr fontId="18"/>
  </si>
  <si>
    <t>発災7日後12時
設備班内から「順次パス切替は実施するが、全サービスの仮復旧までには長期化の恐れがある。」との報告がありました。
誰にどのような指示を出しますか？
※評価対象コンピテンシー：想像・先読み力、計画力</t>
  </si>
  <si>
    <t>1点：事態の長期化を想定している
2点：事態の長期化を想定した上で、必要な対応を具体的に検討している
3点：事態の長期化や悪化を複数想定し、それぞれに必要な対応や対策を具体的に計画している</t>
    <rPh sb="37" eb="39">
      <t>タイオウ</t>
    </rPh>
    <phoneticPr fontId="18"/>
  </si>
  <si>
    <t>1点：班内でできる対応を計画している
2点：事態の長期化を前提とした対応を計画している
3点：事態の長期化や悪化を前提として、災害対策本部や他班と連携して、必要な対応や対策、防止策を具体的に計画している</t>
    <phoneticPr fontId="18"/>
  </si>
  <si>
    <t>発災3日後12時
ベンダからAribaNWログイン者が負傷し、オンラインで取引できない旨連絡がメールで受領しました。
あなたならどのような行動をとりますか？
何を使用し、何を行うか具体的に記述して下さい。
※評価対象コンピテンシー：情報収集力、計画力</t>
  </si>
  <si>
    <t>1点：自ら情報収集しようとしている
2点：指示をしてベンダの被災状況や代替要員に関して情報収集している
3点：指示をしてベンダの被災状況や代替要員に関する情報収集に加えて、代替案に関連する情報収集まで行っている。</t>
    <rPh sb="30" eb="34">
      <t>ヒサイジョウキョウ</t>
    </rPh>
    <rPh sb="35" eb="39">
      <t>ダイタイヨウイン</t>
    </rPh>
    <rPh sb="40" eb="41">
      <t>カン</t>
    </rPh>
    <rPh sb="77" eb="81">
      <t>ジョウホウシュウシュウ</t>
    </rPh>
    <rPh sb="82" eb="83">
      <t>クワ</t>
    </rPh>
    <rPh sb="86" eb="88">
      <t>ダイタイ</t>
    </rPh>
    <rPh sb="88" eb="89">
      <t>アン</t>
    </rPh>
    <rPh sb="90" eb="92">
      <t>カンレン</t>
    </rPh>
    <phoneticPr fontId="18"/>
  </si>
  <si>
    <t>1点：班内でできる対応を計画している
2点：代替要員での対応に加えて、代替要員が見つからない場合の代替策まで計画している
3点：代替要員での対応に加えて、代替要員が見つからない場合の代替策（パスワードリセット、オフライン対応など）まで具体的に計画している</t>
    <rPh sb="22" eb="26">
      <t>ダイタイヨウイン</t>
    </rPh>
    <rPh sb="28" eb="30">
      <t>タイオウ</t>
    </rPh>
    <rPh sb="31" eb="32">
      <t>クワ</t>
    </rPh>
    <rPh sb="35" eb="39">
      <t>ダイタイヨウイン</t>
    </rPh>
    <rPh sb="40" eb="41">
      <t>ミ</t>
    </rPh>
    <rPh sb="73" eb="74">
      <t>クワ</t>
    </rPh>
    <rPh sb="110" eb="112">
      <t>タイオウ</t>
    </rPh>
    <rPh sb="117" eb="120">
      <t>グタイテキ</t>
    </rPh>
    <phoneticPr fontId="18"/>
  </si>
  <si>
    <t>発災3日後12時
設備班から、伝送路パス救済を行うための局内ケーブル部材がNTTドコモ側でも不足しており、対応が困難であるとの情報が班間連携のTeamsチャットで入りました。
あなたならどのような行動をとりますか？
何を使用し、何を行うか具体的に記述して下さい。
※評価対象コンピテンシー：コミュニケーション力、計画力</t>
    <phoneticPr fontId="18"/>
  </si>
  <si>
    <t>1点：本情報を自身や周囲のメンバに展開している
2点：本情報を班内に展開し注意喚起を行っている
3点：本情報を班内に展開し注意喚起を行い、他班にも情報共有を行っている</t>
    <rPh sb="3" eb="4">
      <t>ホン</t>
    </rPh>
    <rPh sb="78" eb="79">
      <t>オコナ</t>
    </rPh>
    <phoneticPr fontId="18"/>
  </si>
  <si>
    <t>1点：班内でできる対応を計画している
2点：必要部材の残量確認や必要数を考慮して計画している
3点：必要部材の残量確認や必要数を確認しつつ、メーカーやNTT東西への協力要請、優先順位をつけたサービス復旧を計画する</t>
    <rPh sb="22" eb="26">
      <t>ヒツヨウブザイ</t>
    </rPh>
    <rPh sb="27" eb="31">
      <t>ザンリョウカクニン</t>
    </rPh>
    <rPh sb="32" eb="35">
      <t>ヒツヨウスウ</t>
    </rPh>
    <rPh sb="36" eb="38">
      <t>コウリョ</t>
    </rPh>
    <rPh sb="64" eb="66">
      <t>カクニン</t>
    </rPh>
    <rPh sb="78" eb="80">
      <t>トウザイ</t>
    </rPh>
    <rPh sb="82" eb="86">
      <t>キョウリョクヨウセイ</t>
    </rPh>
    <rPh sb="87" eb="91">
      <t>ユウセンジュンイ</t>
    </rPh>
    <rPh sb="99" eb="101">
      <t>フッキュウ</t>
    </rPh>
    <phoneticPr fontId="18"/>
  </si>
  <si>
    <t>発災3日後12時
通信機器の納入メーカーから、工場が被災し発注分も落下破損し当面納品できない旨メール連絡がありました。
あなたならどのような行動をとりますか？
何を使用し、何を行うか具体的に記述して下さい。
※評価対象コンピテンシー：コミュニケーション力、計画力</t>
  </si>
  <si>
    <t>1点：本情報を自身や周囲のメンバに展開している
2点：本情報を班内に展開し注意喚起を行っている
3点：本情報を班内に展開し注意喚起を行い、他班にも情報共有を行っている</t>
    <phoneticPr fontId="18"/>
  </si>
  <si>
    <t>1点：班内でできる対応を計画している
2点：メーカー被災による影響を確認し、必要な対応を計画している
3点：メーカー被災による影響を確認した上で、サービスに影響を最小限にするための計画（同等品の調達や代替手段による調達、優先順位をつけたサービス復旧など）している</t>
    <rPh sb="34" eb="36">
      <t>カクニン</t>
    </rPh>
    <rPh sb="38" eb="40">
      <t>ヒツヨウ</t>
    </rPh>
    <rPh sb="41" eb="43">
      <t>タイオウ</t>
    </rPh>
    <rPh sb="70" eb="71">
      <t>ウエ</t>
    </rPh>
    <rPh sb="78" eb="80">
      <t>エイキョウ</t>
    </rPh>
    <rPh sb="81" eb="84">
      <t>サイショウゲン</t>
    </rPh>
    <rPh sb="110" eb="114">
      <t>ユウセンジュンイ</t>
    </rPh>
    <rPh sb="122" eb="124">
      <t>フッキュウ</t>
    </rPh>
    <phoneticPr fontId="18"/>
  </si>
  <si>
    <t>発災7日後12時
主要メーカ・サプライヤの製品が調達できないことが判明しました。
あなたならどのような行動をとりますか？
何を使用し、何を行うか具体的に記述して下さい。
※評価対象コンピテンシー：コミュニケーション力、計画力</t>
  </si>
  <si>
    <t>1点：班内でできる対応を計画している
2点：調達停止による影響を確認し、必要な対応を計画している
3点：調達停止による影響を確認した上で、サービスに影響を最小限にするための計画（同等品の調達や代替手段による調達、優先順位をつけたサービス復旧など）している</t>
    <rPh sb="22" eb="24">
      <t>チョウタツ</t>
    </rPh>
    <rPh sb="24" eb="26">
      <t>テイシ</t>
    </rPh>
    <phoneticPr fontId="18"/>
  </si>
  <si>
    <t>発災3日後12時
マイクロソフト社の認証を詐称し「地震に伴うアカウントの有効性確認実施」としてクレデンシャルの入力を指示する攻撃メールを、多数の社員が受信したとの報告が入りました。
あなたならどのような行動をとりますか？
何を使用し、何を行うか具体的に記述して下さい。
※評価対象コンピテンシー：情報分析力、計画力</t>
    <phoneticPr fontId="18"/>
  </si>
  <si>
    <t>1点：自ら該当メールを分析しようとしている
2点：班内で体制を整え、メールの分析（送信者、件名、本文、添付ファイル有無の確認(有の場合はハッシュ取得とファイルを確保)）行っている
3点：班内で体制を整え、メールの分析（送信者、件名、本文、添付ファイル有無の確認(有の場合はハッシュ取得とファイルを確保)）行い、悪性の有無を判断した上で、対応の検討や社内へ注意喚起などを行う</t>
    <rPh sb="5" eb="7">
      <t>ガイトウ</t>
    </rPh>
    <rPh sb="11" eb="13">
      <t>ブンセキ</t>
    </rPh>
    <rPh sb="38" eb="40">
      <t>ブンセキ</t>
    </rPh>
    <rPh sb="155" eb="157">
      <t>アクセイ</t>
    </rPh>
    <rPh sb="158" eb="160">
      <t>ウム</t>
    </rPh>
    <rPh sb="161" eb="163">
      <t>ハンダン</t>
    </rPh>
    <rPh sb="165" eb="166">
      <t>ウエ</t>
    </rPh>
    <rPh sb="168" eb="170">
      <t>タイオウ</t>
    </rPh>
    <rPh sb="171" eb="173">
      <t>ケントウ</t>
    </rPh>
    <rPh sb="174" eb="176">
      <t>シャナイ</t>
    </rPh>
    <rPh sb="177" eb="181">
      <t>チュウイカンキ</t>
    </rPh>
    <rPh sb="184" eb="185">
      <t>オコナ</t>
    </rPh>
    <phoneticPr fontId="18"/>
  </si>
  <si>
    <t>1点：攻撃メールに対する対応を計画している
2点：班内で体制を構築して、攻撃メールに対する対応を計画している
3点：班内で体制を構築して、攻撃メールに対する分析や対応を計画するとともに、注意喚起をしている</t>
    <rPh sb="25" eb="27">
      <t>ハンナイ</t>
    </rPh>
    <rPh sb="28" eb="30">
      <t>タイセイ</t>
    </rPh>
    <rPh sb="31" eb="33">
      <t>コウチク</t>
    </rPh>
    <rPh sb="78" eb="80">
      <t>ブンセキ</t>
    </rPh>
    <phoneticPr fontId="18"/>
  </si>
  <si>
    <t>発災3日後12時
社員より、「NTTドコモビジネス子会社の財務担当役員名で、復旧に必要な資金の一時的なショートの回避の為に、至急、指定した口座に2億円を振り込んで欲しい旨の、メール及び電話での依頼があった。」との連絡が入りました。
あなたならどのような行動をとりますか？
何を使用し、何を行うか具体的に記述して下さい。
※評価対象コンピテンシー：情報分析力、計画力</t>
    <phoneticPr fontId="18"/>
  </si>
  <si>
    <t>1点：自ら該当メールを分析しようとしている
2点：班内で体制を整え、メールの分析（送信者、件名、本文、添付ファイル有無の確認(有の場合はハッシュ取得とファイルを確保)）行っている
3点：班内で体制を整え、メールの分析（送信者、件名、本文、添付ファイル有無の確認(有の場合はハッシュ取得とファイルを確保)）行い、悪性の有無を判断した上で、対応の検討や社内へ注意喚起などを行う</t>
    <phoneticPr fontId="18"/>
  </si>
  <si>
    <t>1点：当該メールに対する対応を計画している
2点：班内で体制を構築して、当該メールに対する対応を計画している
3点：班内で体制を構築して、当該メールに対する分析や対応を計画するとともに、注意喚起をしている</t>
    <rPh sb="3" eb="5">
      <t>トウガイ</t>
    </rPh>
    <rPh sb="36" eb="38">
      <t>トウガイ</t>
    </rPh>
    <rPh sb="69" eb="71">
      <t>トウガイ</t>
    </rPh>
    <phoneticPr fontId="18"/>
  </si>
  <si>
    <t>発災7日後12時
NTT Securityより、「攻撃グループがNTTドコモビジネスのシステムをランサムウエアに感染させ、その証拠として一部のファイルをアップロードしている旨をテレグラム上でポストしている」ことをサイバーインテリジェンスベンダ(Recorded Future)が見つけたとの連絡がありました。
あなたならどのような行動をとりますか？
何を使用し、何を行うか具体的に記述して下さい。
※評価対象コンピテンシー：計画力</t>
    <phoneticPr fontId="18"/>
  </si>
  <si>
    <t>1点：自身で可能な対応を計画している
2点：班内で体制を構築して対応（漏洩有無の確認など）を計画している
3点：班内で体制を構築して対応（漏洩有無の確認など）し、漏洩情報がある場合は社外対応まで計画する</t>
    <rPh sb="3" eb="5">
      <t>ジシン</t>
    </rPh>
    <rPh sb="6" eb="8">
      <t>カノウ</t>
    </rPh>
    <rPh sb="9" eb="11">
      <t>タイオウ</t>
    </rPh>
    <rPh sb="12" eb="14">
      <t>ケイカク</t>
    </rPh>
    <rPh sb="35" eb="39">
      <t>ロウエイウム</t>
    </rPh>
    <rPh sb="40" eb="42">
      <t>カクニン</t>
    </rPh>
    <rPh sb="69" eb="73">
      <t>ロウエイウム</t>
    </rPh>
    <rPh sb="74" eb="76">
      <t>カクニン</t>
    </rPh>
    <rPh sb="81" eb="85">
      <t>ロウエイジョウホウ</t>
    </rPh>
    <rPh sb="88" eb="90">
      <t>バアイ</t>
    </rPh>
    <rPh sb="91" eb="93">
      <t>シャガイ</t>
    </rPh>
    <rPh sb="93" eb="95">
      <t>タイオウ</t>
    </rPh>
    <rPh sb="97" eb="99">
      <t>ケイカク</t>
    </rPh>
    <phoneticPr fontId="18"/>
  </si>
  <si>
    <t>発災7日後12時
持株会社より、「政府機関との関連が疑われる攻撃アクターによる日本国内の通信キャリアに対する攻撃が計画されている模様」との情報を政府機関から入手したの連絡が入りました。
あなたならどのような行動をとりますか？
何を使用し、何を行うか具体的に記述して下さい。
※評価対象コンピテンシー：想像・先読み力、計画力</t>
  </si>
  <si>
    <t>1点：攻撃を受けることを想定しようとしている
2点：攻撃を受けることを想定した上で、必要な対応を具体的に検討している
3点：攻撃を受けることを想定した上で、災害対応の全体像を見据えた上で、必要な対応や対策を具体的に検討している</t>
    <rPh sb="3" eb="5">
      <t>コウゲキ</t>
    </rPh>
    <rPh sb="6" eb="7">
      <t>ウ</t>
    </rPh>
    <rPh sb="45" eb="47">
      <t>タイオウ</t>
    </rPh>
    <rPh sb="97" eb="99">
      <t>タイオウ</t>
    </rPh>
    <rPh sb="100" eb="102">
      <t>タイサク</t>
    </rPh>
    <phoneticPr fontId="18"/>
  </si>
  <si>
    <t xml:space="preserve">1点：自身で可能な対応を計画している
2点：班内で体制を構築して対応を計画している
3点：班内で体制を構築して具体的な対応を計画（NTT-CERTとの連携など）している
</t>
    <rPh sb="55" eb="58">
      <t>グタイテキ</t>
    </rPh>
    <rPh sb="62" eb="64">
      <t>ケイカク</t>
    </rPh>
    <rPh sb="75" eb="77">
      <t>レンケイ</t>
    </rPh>
    <phoneticPr fontId="18"/>
  </si>
  <si>
    <t>発災翌日18時
西日本初動本部から東京へ引継ぎが完了しました。
翌日9時に全社の災害対策本部会議が開催されます。
あなたならどのような行動をとりますか？
何を使用し、何を行うか具体的に記述して下さい。
※評価対象コンピテンシー：コミュニケーション力、計画力</t>
    <phoneticPr fontId="18"/>
  </si>
  <si>
    <t>発災翌日9時
Teamsやメールは継続して利用できなくなるのでは？と個別の問い合わせをメールで受信しました。
あなたならどのような行動をとりますか？
何を使用し、何を行うか具体的に記述して下さい。
※評価対象コンピテンシー：情報収集力</t>
    <phoneticPr fontId="18"/>
  </si>
  <si>
    <t>≪情報収集力≫
・個人見解で回答　1点
・班内メンバへ共有し、班として回答　　2点
・班内メンバへ共有し、班として回答＋回答内容＝万が一の代替え手段のシステムやその有無を確認した上で回答。全社に対してもその内容を共有。　3点</t>
    <rPh sb="18" eb="19">
      <t>テン</t>
    </rPh>
    <rPh sb="40" eb="41">
      <t>テン</t>
    </rPh>
    <rPh sb="111" eb="112">
      <t>テン</t>
    </rPh>
    <phoneticPr fontId="18"/>
  </si>
  <si>
    <t>発災3日後18時
Teamsが非常につながりにくい状況で、Web会議が利用できない状態となっています。
あなたならどのような行動をとりますか？
何を使用し、何を行うか具体的に記述して下さい。
※評価対象コンピテンシー：計画力</t>
    <phoneticPr fontId="18"/>
  </si>
  <si>
    <t>≪計画力≫
・自分自身でできる対応を検討する記載　１点
・周囲の班員でできる対応を検討する記載　２点
・既存ルールの有無に限らず柔軟に他組織への協力依頼を行い、対応を計画する記載があれば　３点
メモ
Teams状況を全社共有するとともに対策会議へエスカレ報告し、代替えツールの利用を提案できる 3点</t>
    <rPh sb="101" eb="103">
      <t>ダイガ</t>
    </rPh>
    <rPh sb="108" eb="110">
      <t>リヨウ</t>
    </rPh>
    <rPh sb="111" eb="113">
      <t>テイアン</t>
    </rPh>
    <rPh sb="118" eb="119">
      <t>テン</t>
    </rPh>
    <phoneticPr fontId="18"/>
  </si>
  <si>
    <t>発災7日後12時
A拠点の社内NWから社外にファイル持出の疑いがあるログが検知されました。
あなたならどのような行動をとりますか？
何を使用し、何を行うか具体的に記述して下さい。
※評価対象コンピテンシー：情報収集力</t>
  </si>
  <si>
    <t>≪情報収集力≫
・自身で確認する　１点
・班内巻き込んで事実確認　２点
・班間巻き込んで情報収集　３点
メモ
セキュリティ系の対処（全社）への報告体制確立ができている　3点</t>
    <rPh sb="1" eb="3">
      <t>ジョウホウ</t>
    </rPh>
    <rPh sb="3" eb="6">
      <t>シュウシュウリョク</t>
    </rPh>
    <rPh sb="18" eb="19">
      <t>テン</t>
    </rPh>
    <rPh sb="34" eb="35">
      <t>テン</t>
    </rPh>
    <rPh sb="37" eb="38">
      <t>ハン</t>
    </rPh>
    <rPh sb="38" eb="39">
      <t>カン</t>
    </rPh>
    <rPh sb="39" eb="40">
      <t>マ</t>
    </rPh>
    <rPh sb="41" eb="42">
      <t>コ</t>
    </rPh>
    <rPh sb="44" eb="48">
      <t>ジョウホウシュウシュウ</t>
    </rPh>
    <rPh sb="50" eb="51">
      <t>テン</t>
    </rPh>
    <rPh sb="61" eb="62">
      <t>ケイ</t>
    </rPh>
    <rPh sb="63" eb="65">
      <t>タイショ</t>
    </rPh>
    <rPh sb="66" eb="68">
      <t>ゼンシャ</t>
    </rPh>
    <rPh sb="71" eb="73">
      <t>ホウコク</t>
    </rPh>
    <rPh sb="73" eb="75">
      <t>タイセイ</t>
    </rPh>
    <rPh sb="75" eb="77">
      <t>カクリツ</t>
    </rPh>
    <rPh sb="85" eb="86">
      <t>テン</t>
    </rPh>
    <phoneticPr fontId="18"/>
  </si>
  <si>
    <t>発災7日後12時
最終的なシステムの復旧が完了した後にあなたはどのような行動をとりますか？
何を使用し、何を行うか具体的に記述して下さい。
※評価対象コンピテンシー：計画力</t>
  </si>
  <si>
    <t>≪計画力≫
・自分自身でできる対応を検討する記載　１点
・周囲の班員でできる対応を検討する記載　２点
・既存ルールの有無に限らず柔軟に他組織への協力依頼を行い、対応を計画する記載があれば　３点</t>
    <phoneticPr fontId="18"/>
  </si>
  <si>
    <t>発災3日目8時
総務省より被災状況の詳細と復旧目途について問い合わせがありました。
基幹ケーブルの復旧については、現地の立入りができない状況で、まだ回復の目途が立っていません。パス救済も人員が揃わず難航しています。また、アクセス回線の被災も相当量の警報が上がっており、罹災回線の洗い出しが難航しています。
どのように回答しますか？
※評価対象コンピテンシー：コミュニケーション力、情報収集力、計画力</t>
    <rPh sb="194" eb="196">
      <t>ジョウホウ</t>
    </rPh>
    <rPh sb="196" eb="198">
      <t>シュウシュウ</t>
    </rPh>
    <rPh sb="200" eb="203">
      <t>ケイカクリョク</t>
    </rPh>
    <phoneticPr fontId="18"/>
  </si>
  <si>
    <r>
      <rPr>
        <sz val="11"/>
        <color rgb="FFFF0000"/>
        <rFont val="Meiryo UI"/>
        <family val="3"/>
        <charset val="128"/>
      </rPr>
      <t xml:space="preserve">1点：総務省と連絡をとろうとしている
2点：基幹ケーブルの復旧に向けて、総務省や関係者とコミュニケーションをとっている
3点：基幹ケーブルの復旧に向けて、総務省や関係者と円滑なコミュニケーションをとって課題解決につなげている（現状報告、難航の原因、復旧に向けた対応など）
</t>
    </r>
    <r>
      <rPr>
        <sz val="11"/>
        <rFont val="Meiryo UI"/>
        <family val="3"/>
        <charset val="128"/>
      </rPr>
      <t xml:space="preserve">
</t>
    </r>
    <r>
      <rPr>
        <sz val="11"/>
        <color rgb="FF0000FF"/>
        <rFont val="Meiryo UI"/>
        <family val="3"/>
        <charset val="128"/>
      </rPr>
      <t>総務省、設備班（ドコモ）、サービス班、協力会社など関係者と連絡を取っている、総務省に対しては現地に駆けつけられない現状を伝え、原因により協力を仰ぐ可能性がある旨伝えるなど円滑な意思疎通に向けた工夫がなされている　3点</t>
    </r>
    <rPh sb="3" eb="6">
      <t>ソウムショウ</t>
    </rPh>
    <rPh sb="40" eb="43">
      <t>カンケイシャ</t>
    </rPh>
    <rPh sb="81" eb="84">
      <t>カンケイシャ</t>
    </rPh>
    <rPh sb="101" eb="105">
      <t>カダイカイケツ</t>
    </rPh>
    <rPh sb="113" eb="115">
      <t>ゲンジョウ</t>
    </rPh>
    <rPh sb="115" eb="117">
      <t>ホウコク</t>
    </rPh>
    <rPh sb="118" eb="120">
      <t>ナンコウ</t>
    </rPh>
    <rPh sb="121" eb="123">
      <t>ゲンイン</t>
    </rPh>
    <rPh sb="124" eb="126">
      <t>フッキュウ</t>
    </rPh>
    <rPh sb="127" eb="128">
      <t>ム</t>
    </rPh>
    <rPh sb="130" eb="132">
      <t>タイオウ</t>
    </rPh>
    <rPh sb="137" eb="140">
      <t>ソウムショウ</t>
    </rPh>
    <rPh sb="141" eb="144">
      <t>セツビハン</t>
    </rPh>
    <rPh sb="154" eb="155">
      <t>ハン</t>
    </rPh>
    <rPh sb="156" eb="160">
      <t>キョウリョクガイシャ</t>
    </rPh>
    <rPh sb="162" eb="165">
      <t>カンケイシャ</t>
    </rPh>
    <rPh sb="166" eb="168">
      <t>レンラク</t>
    </rPh>
    <rPh sb="169" eb="170">
      <t>ト</t>
    </rPh>
    <rPh sb="175" eb="178">
      <t>ソウムショウ</t>
    </rPh>
    <rPh sb="179" eb="180">
      <t>タイ</t>
    </rPh>
    <rPh sb="194" eb="196">
      <t>ゲンジョウ</t>
    </rPh>
    <rPh sb="222" eb="224">
      <t>エンカツ</t>
    </rPh>
    <rPh sb="225" eb="229">
      <t>イシソツウ</t>
    </rPh>
    <rPh sb="230" eb="231">
      <t>ム</t>
    </rPh>
    <rPh sb="233" eb="235">
      <t>クフウ</t>
    </rPh>
    <rPh sb="244" eb="245">
      <t>テン</t>
    </rPh>
    <phoneticPr fontId="18"/>
  </si>
  <si>
    <r>
      <rPr>
        <sz val="11"/>
        <color rgb="FFFF0000"/>
        <rFont val="Meiryo UI"/>
        <family val="3"/>
        <charset val="128"/>
      </rPr>
      <t>1点：自ら被災状況や復旧めどについて社内で情報収集しようとしている
2点：指示をして被災状況や復旧めどについて社内で情報収集している
3点：指示をして被災状況や復旧めどについての社内の情報収集に加えて、総務省に対して、国の対応状況について情報収集している。</t>
    </r>
    <r>
      <rPr>
        <sz val="11"/>
        <rFont val="Meiryo UI"/>
        <family val="3"/>
        <charset val="128"/>
      </rPr>
      <t xml:space="preserve">
</t>
    </r>
    <r>
      <rPr>
        <sz val="11"/>
        <color rgb="FF0000FF"/>
        <rFont val="Meiryo UI"/>
        <family val="3"/>
        <charset val="128"/>
      </rPr>
      <t>各組織に指示をして情報収集している　2点</t>
    </r>
    <rPh sb="5" eb="9">
      <t>ヒサイジョウキョウ</t>
    </rPh>
    <rPh sb="10" eb="12">
      <t>フッキュウ</t>
    </rPh>
    <rPh sb="18" eb="20">
      <t>シャナイ</t>
    </rPh>
    <rPh sb="55" eb="57">
      <t>シャナイ</t>
    </rPh>
    <rPh sb="89" eb="91">
      <t>シャナイ</t>
    </rPh>
    <rPh sb="101" eb="104">
      <t>ソウムショウ</t>
    </rPh>
    <rPh sb="105" eb="106">
      <t>タイ</t>
    </rPh>
    <rPh sb="109" eb="110">
      <t>クニ</t>
    </rPh>
    <rPh sb="111" eb="115">
      <t>タイオウジョウキョウ</t>
    </rPh>
    <rPh sb="130" eb="131">
      <t>カク</t>
    </rPh>
    <rPh sb="134" eb="136">
      <t>シジ</t>
    </rPh>
    <rPh sb="139" eb="143">
      <t>ジョウホウシュウシュウ</t>
    </rPh>
    <rPh sb="149" eb="150">
      <t>テン</t>
    </rPh>
    <phoneticPr fontId="18"/>
  </si>
  <si>
    <r>
      <rPr>
        <sz val="11"/>
        <color rgb="FFFF0000"/>
        <rFont val="Meiryo UI"/>
        <family val="3"/>
        <charset val="128"/>
      </rPr>
      <t>1点：総務省からの問い合わせ事項について情報収集と報告の計画を自ら立てている
2点：班間で連携しながら、総務省からの問い合わせ事項について情報収集と報告の計画を立てている
3点：班間で連携しながら、総務省からの問い合わせ事項について情報収集と報告の計画を立て、総務省から国の対応状況の情報収集や依頼事項まで計画している</t>
    </r>
    <r>
      <rPr>
        <sz val="11"/>
        <rFont val="Meiryo UI"/>
        <family val="3"/>
        <charset val="128"/>
      </rPr>
      <t xml:space="preserve">
</t>
    </r>
    <r>
      <rPr>
        <sz val="11"/>
        <color rgb="FF0000FF"/>
        <rFont val="Meiryo UI"/>
        <family val="3"/>
        <charset val="128"/>
      </rPr>
      <t>社内で体制構築（設備班（ドコモ）、サービス班、協力会社）をして、情報収集し報告に備えている、総務省に対しては現地に駆けつけられない事実も伝え、原因により協力を仰ぐ可能性がある旨伝得ている　3点</t>
    </r>
    <rPh sb="3" eb="6">
      <t>ソウムショウ</t>
    </rPh>
    <rPh sb="9" eb="10">
      <t>ト</t>
    </rPh>
    <rPh sb="11" eb="12">
      <t>ア</t>
    </rPh>
    <rPh sb="14" eb="16">
      <t>ジコウ</t>
    </rPh>
    <rPh sb="20" eb="24">
      <t>ジョウホウシュウシュウ</t>
    </rPh>
    <rPh sb="25" eb="27">
      <t>ホウコク</t>
    </rPh>
    <rPh sb="31" eb="32">
      <t>ミズカ</t>
    </rPh>
    <rPh sb="33" eb="34">
      <t>タ</t>
    </rPh>
    <rPh sb="42" eb="44">
      <t>ハンカン</t>
    </rPh>
    <rPh sb="45" eb="47">
      <t>レンケイ</t>
    </rPh>
    <rPh sb="80" eb="81">
      <t>タ</t>
    </rPh>
    <rPh sb="124" eb="126">
      <t>ケイカク</t>
    </rPh>
    <rPh sb="127" eb="128">
      <t>タ</t>
    </rPh>
    <rPh sb="130" eb="133">
      <t>ソウムショウ</t>
    </rPh>
    <rPh sb="135" eb="136">
      <t>クニ</t>
    </rPh>
    <rPh sb="137" eb="141">
      <t>タイオウジョウキョウ</t>
    </rPh>
    <rPh sb="142" eb="146">
      <t>ジョウホウシュウシュウ</t>
    </rPh>
    <rPh sb="147" eb="151">
      <t>イライジコウ</t>
    </rPh>
    <rPh sb="153" eb="155">
      <t>ケイカク</t>
    </rPh>
    <rPh sb="161" eb="163">
      <t>シャナイ</t>
    </rPh>
    <rPh sb="164" eb="168">
      <t>タイセイコウチク</t>
    </rPh>
    <rPh sb="193" eb="197">
      <t>ジョウホウシュウシュウ</t>
    </rPh>
    <rPh sb="198" eb="200">
      <t>ホウコク</t>
    </rPh>
    <rPh sb="201" eb="202">
      <t>ソナ</t>
    </rPh>
    <rPh sb="250" eb="251">
      <t>エ</t>
    </rPh>
    <rPh sb="256" eb="257">
      <t>テン</t>
    </rPh>
    <phoneticPr fontId="18"/>
  </si>
  <si>
    <t>発災3日目15時
NTT東日本災害対策室から、広域停電によるビル給電の燃料枯渇救済に向けて燃料枯渇ビル情報が上がってきました。その中には基幹ルート（東海道ルート、中央道ルート）が含まれています。
対応策について、社内協議及びNTTドコモ、持株会社、NTT東日本との協議をどのように行いますか？
※評価対象コンピテンシー：コミュニケーション力、情報収集力、想像・先読み力、計画力</t>
    <rPh sb="121" eb="123">
      <t>モチカブ</t>
    </rPh>
    <rPh sb="123" eb="125">
      <t>カイシャ</t>
    </rPh>
    <rPh sb="127" eb="129">
      <t>ニホン</t>
    </rPh>
    <phoneticPr fontId="18"/>
  </si>
  <si>
    <r>
      <rPr>
        <sz val="11"/>
        <color rgb="FFFF0000"/>
        <rFont val="Meiryo UI"/>
        <family val="3"/>
        <charset val="128"/>
      </rPr>
      <t>1点：関係者と連絡をとろうとしている
2点：関係者と連絡をとり、燃料枯渇救済に向けて対応している
3点：関係者を巻き込みながら、効率よくコミュニケーションしながら燃料枯渇救済に向けて対応している</t>
    </r>
    <r>
      <rPr>
        <sz val="11"/>
        <rFont val="Meiryo UI"/>
        <family val="3"/>
        <charset val="128"/>
      </rPr>
      <t xml:space="preserve">
</t>
    </r>
    <r>
      <rPr>
        <sz val="11"/>
        <color rgb="FF0000FF"/>
        <rFont val="Meiryo UI"/>
        <family val="3"/>
        <charset val="128"/>
      </rPr>
      <t>社内に対しては指示、NTTグループ各社に対しても確認や要請をしており、効率よくコミュニケーションしている　3点</t>
    </r>
    <rPh sb="3" eb="5">
      <t>カンケイ</t>
    </rPh>
    <rPh sb="5" eb="6">
      <t>シャ</t>
    </rPh>
    <rPh sb="42" eb="44">
      <t>タイオウ</t>
    </rPh>
    <rPh sb="111" eb="113">
      <t>シャナイ</t>
    </rPh>
    <rPh sb="114" eb="115">
      <t>タイ</t>
    </rPh>
    <rPh sb="118" eb="120">
      <t>シジ</t>
    </rPh>
    <rPh sb="128" eb="130">
      <t>カクシャ</t>
    </rPh>
    <rPh sb="131" eb="132">
      <t>タイ</t>
    </rPh>
    <rPh sb="135" eb="137">
      <t>カクニン</t>
    </rPh>
    <rPh sb="138" eb="140">
      <t>ヨウセイ</t>
    </rPh>
    <rPh sb="146" eb="148">
      <t>コウリツテン</t>
    </rPh>
    <phoneticPr fontId="18"/>
  </si>
  <si>
    <r>
      <rPr>
        <sz val="11"/>
        <color rgb="FFFF0000"/>
        <rFont val="Meiryo UI"/>
        <family val="3"/>
        <charset val="128"/>
      </rPr>
      <t>1点：自ら広域停電や燃料枯渇ビルに関連した情報を収集しようとしている
2点：指示をして広域停電や燃料枯渇ビルに関連した情報を収集している
3点：指示をして広域停電や燃料枯渇ビルに関連した情報収集に加えて、状況が悪化するのか、改善するのか、今後の見通しまで情報収集まで行っている。</t>
    </r>
    <r>
      <rPr>
        <sz val="11"/>
        <rFont val="Meiryo UI"/>
        <family val="3"/>
        <charset val="128"/>
      </rPr>
      <t xml:space="preserve">
</t>
    </r>
    <r>
      <rPr>
        <sz val="11"/>
        <color rgb="FF0000FF"/>
        <rFont val="Meiryo UI"/>
        <family val="3"/>
        <charset val="128"/>
      </rPr>
      <t>燃料枯渇の原因を情報収集をした上で「交通事情等が原因であれば、グループ持株も巻き込み総務省を含め自衛隊に協力要請を図る」とあり、最悪の事態の想定につなげている　3点</t>
    </r>
    <rPh sb="5" eb="9">
      <t>コウイキテイデン</t>
    </rPh>
    <rPh sb="10" eb="12">
      <t>ネンリョウ</t>
    </rPh>
    <rPh sb="12" eb="14">
      <t>コカツ</t>
    </rPh>
    <rPh sb="17" eb="19">
      <t>カンレン</t>
    </rPh>
    <rPh sb="102" eb="104">
      <t>ジョウキョウ</t>
    </rPh>
    <rPh sb="105" eb="107">
      <t>アッカ</t>
    </rPh>
    <rPh sb="112" eb="114">
      <t>カイゼン</t>
    </rPh>
    <rPh sb="122" eb="124">
      <t>ミトオ</t>
    </rPh>
    <rPh sb="141" eb="145">
      <t>ネンリョウコカツ</t>
    </rPh>
    <rPh sb="146" eb="148">
      <t>ゲンイン</t>
    </rPh>
    <phoneticPr fontId="18"/>
  </si>
  <si>
    <r>
      <rPr>
        <sz val="11"/>
        <color rgb="FFFF0000"/>
        <rFont val="Meiryo UI"/>
        <family val="3"/>
        <charset val="128"/>
      </rPr>
      <t>1点：燃料枯渇による影響を想定しようとしている
2点：燃料枯渇による影響を想定した上で、必要な行動を具体的に検討している
3点：事態が悪化すること（電力会社の復旧作業の遅れ、燃料枯渇ビルの拡大、両系断など）を想定し、必要な対策や対応を具体的に検討している</t>
    </r>
    <r>
      <rPr>
        <sz val="11"/>
        <rFont val="Meiryo UI"/>
        <family val="3"/>
        <charset val="128"/>
      </rPr>
      <t xml:space="preserve">
</t>
    </r>
    <r>
      <rPr>
        <sz val="11"/>
        <color rgb="FF0000FF"/>
        <rFont val="Meiryo UI"/>
        <family val="3"/>
        <charset val="128"/>
      </rPr>
      <t>「交通事情等が原因であれば、グループ持株も巻き込み総務省を含め自衛隊に協力要請を図る」とあり、事態の悪化を想定し、対応を検討している　3点</t>
    </r>
    <rPh sb="3" eb="7">
      <t>ネンリョウコカツ</t>
    </rPh>
    <rPh sb="10" eb="12">
      <t>エイキョウ</t>
    </rPh>
    <rPh sb="13" eb="15">
      <t>ソウテイ</t>
    </rPh>
    <rPh sb="87" eb="91">
      <t>ネンリョウコカツ</t>
    </rPh>
    <rPh sb="94" eb="96">
      <t>カクダイ</t>
    </rPh>
    <rPh sb="97" eb="100">
      <t>リョウケイダン</t>
    </rPh>
    <rPh sb="176" eb="178">
      <t>ジタイ</t>
    </rPh>
    <rPh sb="179" eb="181">
      <t>アッカ</t>
    </rPh>
    <rPh sb="186" eb="188">
      <t>タイオウ</t>
    </rPh>
    <rPh sb="189" eb="191">
      <t>ケントウ</t>
    </rPh>
    <phoneticPr fontId="18"/>
  </si>
  <si>
    <r>
      <rPr>
        <sz val="11"/>
        <color rgb="FFFF0000"/>
        <rFont val="Meiryo UI"/>
        <family val="3"/>
        <charset val="128"/>
      </rPr>
      <t>1点：自身で可能な対応を計画している
2点：班内で体制を構築して対応を計画している
3点：班内で体制を構築して、NTT東日本と連携した両系断を予防するための対策や、両系断になった場合の対応を計画している</t>
    </r>
    <r>
      <rPr>
        <sz val="11"/>
        <rFont val="Meiryo UI"/>
        <family val="3"/>
        <charset val="128"/>
      </rPr>
      <t xml:space="preserve">
</t>
    </r>
    <r>
      <rPr>
        <sz val="11"/>
        <color rgb="FF0000FF"/>
        <rFont val="Meiryo UI"/>
        <family val="3"/>
        <charset val="128"/>
      </rPr>
      <t>「基幹ルートの通信断の可能性が否定できないため、迂回することをサービス班に指示をする。」とあり、NTT東日本との連携ではないが、両系断を予防するための対策がとられている　3点</t>
    </r>
    <rPh sb="59" eb="62">
      <t>ヒガシニホン</t>
    </rPh>
    <rPh sb="63" eb="65">
      <t>レンケイ</t>
    </rPh>
    <rPh sb="67" eb="70">
      <t>リョウケイダン</t>
    </rPh>
    <rPh sb="71" eb="73">
      <t>ヨボウ</t>
    </rPh>
    <rPh sb="78" eb="80">
      <t>タイサク</t>
    </rPh>
    <rPh sb="82" eb="85">
      <t>リョウケイダン</t>
    </rPh>
    <rPh sb="89" eb="91">
      <t>バアイ</t>
    </rPh>
    <rPh sb="92" eb="94">
      <t>タイオウ</t>
    </rPh>
    <rPh sb="95" eb="97">
      <t>ケイカク</t>
    </rPh>
    <rPh sb="154" eb="157">
      <t>ヒガシニホン</t>
    </rPh>
    <rPh sb="159" eb="161">
      <t>レンケイ</t>
    </rPh>
    <rPh sb="189" eb="190">
      <t>テン</t>
    </rPh>
    <phoneticPr fontId="18"/>
  </si>
  <si>
    <t>発災5日目9時
フロント営業から個別の復旧依頼が来ています。（航空局、郵政、コンビニ、・・・・）
あなたならどのような行動をとりますか？
何を使用し、何を行うか具体的に記述して下さい。
※評価対象コンピテンシー：コミュニケーション力、情報分析力、計画力</t>
    <rPh sb="122" eb="124">
      <t>ブンセキ</t>
    </rPh>
    <rPh sb="126" eb="129">
      <t>ケイカクリョク</t>
    </rPh>
    <phoneticPr fontId="18"/>
  </si>
  <si>
    <r>
      <rPr>
        <sz val="11"/>
        <color rgb="FFFF0000"/>
        <rFont val="Meiryo UI"/>
        <family val="3"/>
        <charset val="128"/>
      </rPr>
      <t>1点：フロント営業と連絡をとろうとしている
2点：お客様対応班事務局に窓口を一本化した上でコミュニケーションをとっている
3点：お客様対応班事務局に窓口を一本化した上で、コミュニケーションをとりながら、復旧優先順位付けされた復旧要望リストの作成を指示している</t>
    </r>
    <r>
      <rPr>
        <sz val="11"/>
        <rFont val="Meiryo UI"/>
        <family val="3"/>
        <charset val="128"/>
      </rPr>
      <t xml:space="preserve">
</t>
    </r>
    <r>
      <rPr>
        <sz val="11"/>
        <color rgb="FF0000FF"/>
        <rFont val="Meiryo UI"/>
        <family val="3"/>
        <charset val="128"/>
      </rPr>
      <t>情報ルートの一本化＋トリアージへの言及　3点</t>
    </r>
    <rPh sb="26" eb="28">
      <t>キャクサマ</t>
    </rPh>
    <rPh sb="28" eb="30">
      <t>タイオウ</t>
    </rPh>
    <rPh sb="35" eb="37">
      <t>マドグチ</t>
    </rPh>
    <rPh sb="38" eb="41">
      <t>イッポンカ</t>
    </rPh>
    <rPh sb="43" eb="44">
      <t>ウエ</t>
    </rPh>
    <rPh sb="107" eb="108">
      <t>ヅ</t>
    </rPh>
    <rPh sb="120" eb="122">
      <t>サクセイ</t>
    </rPh>
    <rPh sb="123" eb="125">
      <t>シジ</t>
    </rPh>
    <rPh sb="131" eb="133">
      <t>ジョウホウ</t>
    </rPh>
    <rPh sb="137" eb="140">
      <t>イッポンカ</t>
    </rPh>
    <rPh sb="148" eb="150">
      <t>ゲンキュウ</t>
    </rPh>
    <rPh sb="152" eb="153">
      <t>テン</t>
    </rPh>
    <phoneticPr fontId="18"/>
  </si>
  <si>
    <r>
      <rPr>
        <sz val="11"/>
        <color rgb="FFFF0000"/>
        <rFont val="Meiryo UI"/>
        <family val="3"/>
        <charset val="128"/>
      </rPr>
      <t>1点：自ら復旧依頼の内容を分析しようとしている
2点：班内で体制を整え、復旧依頼の分析を行っている
3点：班内で体制を整え、復旧依頼の分析を行い、お客様対応班事務局の機能状況や早期復旧の必要性を分析している</t>
    </r>
    <r>
      <rPr>
        <sz val="11"/>
        <rFont val="Meiryo UI"/>
        <family val="3"/>
        <charset val="128"/>
      </rPr>
      <t xml:space="preserve">
</t>
    </r>
    <r>
      <rPr>
        <sz val="11"/>
        <color rgb="FF0000FF"/>
        <rFont val="Meiryo UI"/>
        <family val="3"/>
        <charset val="128"/>
      </rPr>
      <t xml:space="preserve">
お客様対応班事務局の機能状況を分析したり、一覧化することによりトリアージを判断している　3点</t>
    </r>
    <rPh sb="5" eb="9">
      <t>フッキュウイライ</t>
    </rPh>
    <rPh sb="10" eb="12">
      <t>ナイヨウ</t>
    </rPh>
    <rPh sb="36" eb="40">
      <t>フッキュウイライ</t>
    </rPh>
    <rPh sb="41" eb="43">
      <t>ブンセキ</t>
    </rPh>
    <rPh sb="70" eb="71">
      <t>オコナ</t>
    </rPh>
    <rPh sb="74" eb="79">
      <t>キャクサマタイオウハン</t>
    </rPh>
    <rPh sb="79" eb="82">
      <t>ジムキョク</t>
    </rPh>
    <rPh sb="83" eb="85">
      <t>キノウ</t>
    </rPh>
    <rPh sb="85" eb="87">
      <t>ジョウキョウ</t>
    </rPh>
    <rPh sb="88" eb="92">
      <t>ソウキフッキュウ</t>
    </rPh>
    <rPh sb="93" eb="95">
      <t>ヒツヨウ</t>
    </rPh>
    <rPh sb="95" eb="96">
      <t>セイ</t>
    </rPh>
    <rPh sb="97" eb="99">
      <t>ブンセキ</t>
    </rPh>
    <phoneticPr fontId="18"/>
  </si>
  <si>
    <r>
      <rPr>
        <sz val="11"/>
        <color rgb="FFFF0000"/>
        <rFont val="Meiryo UI"/>
        <family val="3"/>
        <charset val="128"/>
      </rPr>
      <t>1点：自身で可能な対応を計画している
2点：班内で体制を構築して対応を計画している
3点：班内の体制構築した上で、お客様対応班事務局に対して、窓口の一本化と復旧優先順位を明示した復旧要望リストの作成を指示する計画を立てている</t>
    </r>
    <r>
      <rPr>
        <sz val="11"/>
        <rFont val="Meiryo UI"/>
        <family val="3"/>
        <charset val="128"/>
      </rPr>
      <t xml:space="preserve">
</t>
    </r>
    <r>
      <rPr>
        <sz val="11"/>
        <color rgb="FF0000FF"/>
        <rFont val="Meiryo UI"/>
        <family val="3"/>
        <charset val="128"/>
      </rPr>
      <t xml:space="preserve">
窓口の一本化の指示や復旧要望リストの作成を計画している　3点</t>
    </r>
    <rPh sb="54" eb="55">
      <t>ウエ</t>
    </rPh>
    <rPh sb="67" eb="68">
      <t>タイ</t>
    </rPh>
    <rPh sb="104" eb="106">
      <t>ケイカク</t>
    </rPh>
    <rPh sb="107" eb="108">
      <t>タ</t>
    </rPh>
    <rPh sb="114" eb="116">
      <t>マドグチ</t>
    </rPh>
    <rPh sb="117" eb="120">
      <t>イッポンカ</t>
    </rPh>
    <rPh sb="121" eb="123">
      <t>シジ</t>
    </rPh>
    <rPh sb="124" eb="126">
      <t>フッキュウ</t>
    </rPh>
    <rPh sb="126" eb="128">
      <t>ヨウボウ</t>
    </rPh>
    <rPh sb="143" eb="144">
      <t>テン</t>
    </rPh>
    <phoneticPr fontId="18"/>
  </si>
  <si>
    <t>発災6日目12時
NTTドコモビジネスの被害は復旧したが、関東エリアのアクセスラインの被害が甚大です。営業からのお客様要望に基づいて派遣要望を出していますが、お客様不在でのNTT東日本のアクセスラインの無効派遣が増えています。
あなたならどのような行動をとりますか？
何を使用し、何を行うか具体的に記述して下さい。
※評価対象コンピテンシー：コミュニケーション力、情報収集力、想像・先読み力</t>
    <phoneticPr fontId="18"/>
  </si>
  <si>
    <r>
      <rPr>
        <sz val="11"/>
        <color rgb="FFFF0000"/>
        <rFont val="Meiryo UI"/>
        <family val="3"/>
        <charset val="128"/>
      </rPr>
      <t>1点：お客様対応班と連絡をとろうとしている
2点：無効派遣を防止するために、お客様対応班とコミュニケーションをとっている
3点：無効派遣を防止するために、現場にお客様がいるのかお客様対応班とコミュニケーションをとりながら確認している</t>
    </r>
    <r>
      <rPr>
        <sz val="11"/>
        <rFont val="Meiryo UI"/>
        <family val="3"/>
        <charset val="128"/>
      </rPr>
      <t xml:space="preserve">
</t>
    </r>
    <r>
      <rPr>
        <sz val="11"/>
        <color rgb="FF0000FF"/>
        <rFont val="Meiryo UI"/>
        <family val="3"/>
        <charset val="128"/>
      </rPr>
      <t xml:space="preserve">
無効派遣の原因を確認したり、お客様対応状況管理シートの現地対応可否フラグの内容により、優先度を下げるようお客様対応班に指示している　3点</t>
    </r>
    <rPh sb="25" eb="29">
      <t>ムコウハケン</t>
    </rPh>
    <rPh sb="30" eb="32">
      <t>ボウシ</t>
    </rPh>
    <rPh sb="39" eb="44">
      <t>キャクサマタイオウハン</t>
    </rPh>
    <rPh sb="77" eb="79">
      <t>ゲンバ</t>
    </rPh>
    <rPh sb="81" eb="83">
      <t>キャクサマ</t>
    </rPh>
    <rPh sb="110" eb="112">
      <t>カクニン</t>
    </rPh>
    <rPh sb="118" eb="122">
      <t>ムコウハケン</t>
    </rPh>
    <rPh sb="123" eb="125">
      <t>ゲンイン</t>
    </rPh>
    <rPh sb="126" eb="128">
      <t>カクニン</t>
    </rPh>
    <rPh sb="155" eb="157">
      <t>ナイヨウ</t>
    </rPh>
    <rPh sb="185" eb="186">
      <t>テン</t>
    </rPh>
    <phoneticPr fontId="18"/>
  </si>
  <si>
    <r>
      <rPr>
        <sz val="11"/>
        <color rgb="FFFF0000"/>
        <rFont val="Meiryo UI"/>
        <family val="3"/>
        <charset val="128"/>
      </rPr>
      <t>1点：自ら無効派遣の状況について情報収集しようとしている
2点：指示をして無効派遣の状況について情報収集している
3点：指示をして無効派遣の状況を把握するために、NTT東日本、TOCなどから無効派遣数や無効派遣の原因（お客様起因であるか）を情報収集している</t>
    </r>
    <r>
      <rPr>
        <sz val="11"/>
        <rFont val="Meiryo UI"/>
        <family val="3"/>
        <charset val="128"/>
      </rPr>
      <t xml:space="preserve">
</t>
    </r>
    <r>
      <rPr>
        <sz val="11"/>
        <color rgb="FF0000FF"/>
        <rFont val="Meiryo UI"/>
        <family val="3"/>
        <charset val="128"/>
      </rPr>
      <t>NTT東日本やTOCから無効派遣情報、お客様対応状況管理シートの現地対応可否フラグからお客様情報を収集している　3点</t>
    </r>
    <rPh sb="5" eb="9">
      <t>ムコウハケン</t>
    </rPh>
    <rPh sb="10" eb="12">
      <t>ジョウキョウ</t>
    </rPh>
    <rPh sb="16" eb="18">
      <t>ジョウホウ</t>
    </rPh>
    <rPh sb="73" eb="75">
      <t>ハアク</t>
    </rPh>
    <rPh sb="84" eb="87">
      <t>ヒガシニホン</t>
    </rPh>
    <rPh sb="101" eb="105">
      <t>ムコウハケン</t>
    </rPh>
    <rPh sb="120" eb="124">
      <t>ジョウホウシュウシュウ</t>
    </rPh>
    <rPh sb="142" eb="146">
      <t>ムコウハケン</t>
    </rPh>
    <rPh sb="146" eb="148">
      <t>ジョウホウ</t>
    </rPh>
    <rPh sb="174" eb="176">
      <t>キャクサマ</t>
    </rPh>
    <rPh sb="176" eb="178">
      <t>ジョウホウ</t>
    </rPh>
    <rPh sb="179" eb="181">
      <t>シュウシュウ</t>
    </rPh>
    <rPh sb="187" eb="188">
      <t>テン</t>
    </rPh>
    <phoneticPr fontId="18"/>
  </si>
  <si>
    <r>
      <rPr>
        <sz val="11"/>
        <color rgb="FFFF0000"/>
        <rFont val="Meiryo UI"/>
        <family val="3"/>
        <charset val="128"/>
      </rPr>
      <t>1点：無効派遣が増えている背景を想定しようとしている
2点：無効派遣が増えている背景を想定した上で、防止策を具体的に検討している
3点：無効派遣が増えている背景を想定した上で、抜本的な防止策（安全配慮した上で、現場調査チームの立ち上げなど）を具体的に検討している</t>
    </r>
    <r>
      <rPr>
        <sz val="11"/>
        <rFont val="Meiryo UI"/>
        <family val="3"/>
        <charset val="128"/>
      </rPr>
      <t xml:space="preserve">
</t>
    </r>
    <r>
      <rPr>
        <sz val="11"/>
        <color rgb="FF0000FF"/>
        <rFont val="Meiryo UI"/>
        <family val="3"/>
        <charset val="128"/>
      </rPr>
      <t>想像、先読み力を発揮した記述はない　0点</t>
    </r>
    <rPh sb="3" eb="7">
      <t>ムコウハケン</t>
    </rPh>
    <rPh sb="8" eb="9">
      <t>フ</t>
    </rPh>
    <rPh sb="13" eb="15">
      <t>ハイケイ</t>
    </rPh>
    <rPh sb="50" eb="53">
      <t>ボウシサク</t>
    </rPh>
    <rPh sb="88" eb="91">
      <t>バッポンテキ</t>
    </rPh>
    <rPh sb="102" eb="103">
      <t>ウエ</t>
    </rPh>
    <rPh sb="107" eb="109">
      <t>チョウサ</t>
    </rPh>
    <rPh sb="113" eb="114">
      <t>タ</t>
    </rPh>
    <rPh sb="115" eb="116">
      <t>ア</t>
    </rPh>
    <rPh sb="119" eb="120">
      <t>テン</t>
    </rPh>
    <rPh sb="122" eb="126">
      <t>ムコウハケン</t>
    </rPh>
    <rPh sb="127" eb="128">
      <t>タイ</t>
    </rPh>
    <rPh sb="130" eb="132">
      <t>タイオウ</t>
    </rPh>
    <rPh sb="133" eb="134">
      <t>ト</t>
    </rPh>
    <rPh sb="145" eb="147">
      <t>ヒョウカ</t>
    </rPh>
    <rPh sb="147" eb="149">
      <t>タイショウ</t>
    </rPh>
    <rPh sb="149" eb="150">
      <t>ガイ</t>
    </rPh>
    <phoneticPr fontId="18"/>
  </si>
  <si>
    <t>シーン</t>
  </si>
  <si>
    <t>シーン1</t>
  </si>
  <si>
    <t>ｺﾐｭﾆｹｰｼｮﾝ</t>
  </si>
  <si>
    <t>計画</t>
    <rPh sb="0" eb="2">
      <t>ケイカク</t>
    </rPh>
    <phoneticPr fontId="18"/>
  </si>
  <si>
    <t>共／個</t>
  </si>
  <si>
    <t>共通</t>
  </si>
  <si>
    <t>計</t>
    <rPh sb="0" eb="1">
      <t>ケイ</t>
    </rPh>
    <phoneticPr fontId="18"/>
  </si>
  <si>
    <t>01本部長支援</t>
  </si>
  <si>
    <t>行ラベル</t>
  </si>
  <si>
    <t>個数 / ｺﾐｭﾆｹｰｼｮﾝ</t>
  </si>
  <si>
    <t>個数 / 情報収集</t>
  </si>
  <si>
    <t>個数 / 情報分析</t>
  </si>
  <si>
    <t>個数 / 想像・先読み</t>
  </si>
  <si>
    <t>個数 / 計画</t>
  </si>
  <si>
    <t>02広報</t>
  </si>
  <si>
    <t>00全班共通</t>
  </si>
  <si>
    <t>03総務</t>
  </si>
  <si>
    <t>総計</t>
  </si>
  <si>
    <t>04サービス</t>
  </si>
  <si>
    <t>05お客様対応</t>
  </si>
  <si>
    <t>06設備</t>
  </si>
  <si>
    <t>07資材</t>
  </si>
  <si>
    <t>08セキュリティ</t>
  </si>
  <si>
    <t>09社内システム</t>
  </si>
  <si>
    <t>10情報統括</t>
  </si>
  <si>
    <t>個別</t>
  </si>
  <si>
    <t>合計</t>
  </si>
  <si>
    <t>班名</t>
  </si>
  <si>
    <t>【01本部長支援】コンピテンシー別出題マトリクス</t>
  </si>
  <si>
    <t>No.</t>
  </si>
  <si>
    <t>問題No.</t>
  </si>
  <si>
    <t>共/個</t>
  </si>
  <si>
    <t>情報収集</t>
  </si>
  <si>
    <t>情報分析</t>
  </si>
  <si>
    <t>想像・先読み</t>
  </si>
  <si>
    <t>計画</t>
  </si>
  <si>
    <t>〇の数</t>
  </si>
  <si>
    <t>【02広報】コンピテンシー別出題マトリクス</t>
  </si>
  <si>
    <t>【03総務】コンピテンシー別出題マトリクス</t>
  </si>
  <si>
    <t>【04サービス】コンピテンシー別出題マトリクス</t>
  </si>
  <si>
    <t>【05お客様対応】コンピテンシー別出題マトリクス</t>
  </si>
  <si>
    <t>【06設備】コンピテンシー別出題マトリクス</t>
  </si>
  <si>
    <t>【07資材】コンピテンシー別出題マトリクス</t>
  </si>
  <si>
    <t>【08セキュリティ】コンピテンシー別出題マトリクス</t>
  </si>
  <si>
    <t>【09社内システム】コンピテンシー別出題マトリクス</t>
  </si>
  <si>
    <t>【10情報統括】コンピテンシー別出題マトリクス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</si>
</sst>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4">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Meiryo UI"/>
      <family val="3"/>
      <charset val="128"/>
    </font>
    <font>
      <b/>
      <sz val="11"/>
      <color theme="1"/>
      <name val="Meiryo UI"/>
      <family val="3"/>
      <charset val="128"/>
    </font>
    <font>
      <sz val="11"/>
      <color theme="1"/>
      <name val="Meiryo UI"/>
      <family val="2"/>
      <charset val="128"/>
    </font>
    <font>
      <sz val="11"/>
      <name val="ＭＳ Ｐゴシック"/>
      <family val="3"/>
      <charset val="128"/>
    </font>
    <font>
      <sz val="11"/>
      <name val="Meiryo UI"/>
      <family val="3"/>
      <charset val="128"/>
    </font>
    <font>
      <sz val="11"/>
      <color rgb="FFFF0000"/>
      <name val="Meiryo UI"/>
      <family val="3"/>
      <charset val="128"/>
    </font>
    <font>
      <sz val="11"/>
      <color rgb="FF0000FF"/>
      <name val="Meiryo UI"/>
      <family val="3"/>
      <charset val="128"/>
    </font>
    <font>
      <sz val="11"/>
      <color theme="1"/>
      <name val="游ゴシック"/>
      <family val="3"/>
      <charset val="128"/>
      <scheme val="minor"/>
    </font>
    <font>
      <sz val="9"/>
      <color theme="1"/>
      <name val="Meiryo UI"/>
      <family val="3"/>
      <charset val="128"/>
    </font>
    <font>
      <sz val="11"/>
      <color rgb="FF000000"/>
      <name val="游ゴシック"/>
      <family val="3"/>
      <charset val="128"/>
      <scheme val="minor"/>
    </font>
    <font>
      <sz val="11"/>
      <name val="游ゴシック"/>
      <family val="3"/>
      <charset val="128"/>
      <scheme val="minor"/>
    </font>
    <font>
      <b/>
      <sz val="11"/>
      <color theme="1"/>
      <name val="游ゴシック"/>
      <family val="3"/>
      <charset val="128"/>
      <scheme val="minor"/>
    </font>
    <font>
      <strike/>
      <sz val="11"/>
      <name val="游ゴシック"/>
      <family val="3"/>
      <charset val="128"/>
      <scheme val="minor"/>
    </font>
    <font>
      <sz val="11"/>
      <name val="游ゴシック"/>
      <family val="2"/>
      <charset val="128"/>
      <scheme val="minor"/>
    </font>
    <font>
      <b/>
      <sz val="12"/>
      <color rgb="FFFFFFFF"/>
      <name val="游ゴシック"/>
      <family val="2"/>
      <charset val="128"/>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CCE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4472C4"/>
        <bgColor indexed="64"/>
      </patternFill>
    </fill>
    <fill>
      <patternFill patternType="solid">
        <fgColor rgb="FFD9E1F2"/>
        <bgColor indexed="64"/>
      </patternFill>
    </fill>
    <fill>
      <patternFill patternType="solid">
        <fgColor rgb="FFFFF2CC"/>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1" fillId="0" borderId="0">
      <alignment vertical="center"/>
    </xf>
    <xf numFmtId="0" fontId="22" fillId="0" borderId="0"/>
  </cellStyleXfs>
  <cellXfs count="69">
    <xf numFmtId="0" fontId="0" fillId="0" borderId="0" xfId="0">
      <alignment vertical="center"/>
    </xf>
    <xf numFmtId="0" fontId="19" fillId="33" borderId="11" xfId="0" applyFont="1" applyFill="1" applyBorder="1">
      <alignment vertical="center"/>
    </xf>
    <xf numFmtId="0" fontId="19" fillId="0" borderId="10" xfId="0" applyFont="1" applyBorder="1">
      <alignment vertical="center"/>
    </xf>
    <xf numFmtId="0" fontId="19" fillId="33" borderId="10" xfId="0" applyFont="1" applyFill="1" applyBorder="1" applyAlignment="1">
      <alignment horizontal="center" vertical="center"/>
    </xf>
    <xf numFmtId="0" fontId="19" fillId="33" borderId="10" xfId="0" applyFont="1" applyFill="1" applyBorder="1">
      <alignment vertical="center"/>
    </xf>
    <xf numFmtId="0" fontId="19" fillId="0" borderId="10" xfId="0" applyFont="1" applyBorder="1" applyAlignment="1">
      <alignment vertical="top" wrapText="1"/>
    </xf>
    <xf numFmtId="0" fontId="19" fillId="0" borderId="10" xfId="0" applyFont="1" applyBorder="1" applyAlignment="1">
      <alignment vertical="center" wrapText="1"/>
    </xf>
    <xf numFmtId="0" fontId="19" fillId="33" borderId="10" xfId="0" applyFont="1" applyFill="1" applyBorder="1" applyAlignment="1">
      <alignment horizontal="center" vertical="center" wrapText="1"/>
    </xf>
    <xf numFmtId="0" fontId="0" fillId="0" borderId="0" xfId="0" pivotButton="1">
      <alignment vertical="center"/>
    </xf>
    <xf numFmtId="0" fontId="0" fillId="0" borderId="0" xfId="0" applyAlignment="1">
      <alignment horizontal="left" vertical="center"/>
    </xf>
    <xf numFmtId="0" fontId="20" fillId="0" borderId="10" xfId="0" applyFont="1" applyBorder="1">
      <alignment vertical="center"/>
    </xf>
    <xf numFmtId="0" fontId="30" fillId="0" borderId="0" xfId="0" applyFont="1">
      <alignment vertical="center"/>
    </xf>
    <xf numFmtId="0" fontId="20" fillId="0" borderId="0" xfId="0" applyFont="1">
      <alignment vertical="center"/>
    </xf>
    <xf numFmtId="0" fontId="19" fillId="34" borderId="10" xfId="0" applyFont="1" applyFill="1" applyBorder="1" applyAlignment="1">
      <alignment horizontal="center" vertical="center"/>
    </xf>
    <xf numFmtId="0" fontId="19" fillId="34" borderId="10" xfId="0" applyFont="1" applyFill="1" applyBorder="1">
      <alignment vertical="center"/>
    </xf>
    <xf numFmtId="0" fontId="19" fillId="34" borderId="12" xfId="0" applyFont="1" applyFill="1" applyBorder="1">
      <alignment vertical="center"/>
    </xf>
    <xf numFmtId="0" fontId="19" fillId="34" borderId="16" xfId="0" applyFont="1" applyFill="1" applyBorder="1">
      <alignment vertical="center"/>
    </xf>
    <xf numFmtId="0" fontId="19" fillId="33" borderId="10" xfId="0" applyFont="1" applyFill="1" applyBorder="1" applyAlignment="1">
      <alignment horizontal="left" vertical="center" wrapText="1"/>
    </xf>
    <xf numFmtId="0" fontId="19" fillId="0" borderId="10" xfId="0" applyFont="1" applyBorder="1" applyAlignment="1">
      <alignment horizontal="left" vertical="center" wrapText="1"/>
    </xf>
    <xf numFmtId="0" fontId="27" fillId="33" borderId="15" xfId="0" applyFont="1" applyFill="1" applyBorder="1" applyAlignment="1">
      <alignment horizontal="center" vertical="center"/>
    </xf>
    <xf numFmtId="0" fontId="27" fillId="33" borderId="13" xfId="0" applyFont="1" applyFill="1" applyBorder="1" applyAlignment="1">
      <alignment horizontal="center" vertical="center"/>
    </xf>
    <xf numFmtId="0" fontId="0" fillId="0" borderId="15" xfId="0" applyBorder="1">
      <alignment vertical="center"/>
    </xf>
    <xf numFmtId="0" fontId="28" fillId="0" borderId="19" xfId="0" applyFont="1" applyBorder="1" applyAlignment="1">
      <alignment horizontal="center" vertical="center" wrapText="1" readingOrder="1"/>
    </xf>
    <xf numFmtId="0" fontId="0" fillId="0" borderId="13" xfId="0" applyBorder="1">
      <alignment vertical="center"/>
    </xf>
    <xf numFmtId="0" fontId="0" fillId="0" borderId="13" xfId="0" applyBorder="1" applyAlignment="1">
      <alignment horizontal="center" vertical="center"/>
    </xf>
    <xf numFmtId="0" fontId="0" fillId="0" borderId="15" xfId="0" applyBorder="1" applyAlignment="1">
      <alignment horizontal="center" vertical="center"/>
    </xf>
    <xf numFmtId="0" fontId="26" fillId="0" borderId="13" xfId="0" applyFont="1" applyBorder="1" applyAlignment="1">
      <alignment horizontal="center" vertical="center"/>
    </xf>
    <xf numFmtId="0" fontId="26" fillId="0" borderId="15" xfId="0" applyFont="1" applyBorder="1" applyAlignment="1">
      <alignment horizontal="center" vertical="center"/>
    </xf>
    <xf numFmtId="0" fontId="29" fillId="0" borderId="17"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18" xfId="0" applyFont="1" applyBorder="1" applyAlignment="1">
      <alignment horizontal="center" vertical="center" wrapText="1"/>
    </xf>
    <xf numFmtId="0" fontId="28" fillId="0" borderId="17" xfId="0" applyFont="1" applyBorder="1" applyAlignment="1">
      <alignment horizontal="center" vertical="center" wrapText="1" readingOrder="1"/>
    </xf>
    <xf numFmtId="0" fontId="26" fillId="0" borderId="0" xfId="0" applyFont="1">
      <alignment vertical="center"/>
    </xf>
    <xf numFmtId="0" fontId="23" fillId="0" borderId="15" xfId="0" applyFont="1" applyBorder="1" applyAlignment="1">
      <alignment vertical="top" wrapText="1"/>
    </xf>
    <xf numFmtId="0" fontId="29" fillId="0" borderId="18" xfId="0" applyFont="1" applyBorder="1" applyAlignment="1">
      <alignment vertical="center" wrapText="1"/>
    </xf>
    <xf numFmtId="0" fontId="29" fillId="0" borderId="17" xfId="0" applyFont="1" applyBorder="1" applyAlignment="1">
      <alignment vertical="center" wrapText="1"/>
    </xf>
    <xf numFmtId="0" fontId="26" fillId="0" borderId="13" xfId="0" applyFont="1" applyBorder="1">
      <alignment vertical="center"/>
    </xf>
    <xf numFmtId="0" fontId="29" fillId="0" borderId="15" xfId="0" applyFont="1" applyBorder="1" applyAlignment="1">
      <alignment horizontal="center" vertical="center" wrapText="1"/>
    </xf>
    <xf numFmtId="0" fontId="23" fillId="0" borderId="15" xfId="0" applyFont="1" applyBorder="1" applyAlignment="1">
      <alignment horizontal="left" vertical="top" wrapText="1"/>
    </xf>
    <xf numFmtId="0" fontId="19" fillId="33" borderId="13" xfId="0" applyFont="1" applyFill="1" applyBorder="1" applyAlignment="1">
      <alignment horizontal="center" vertical="center"/>
    </xf>
    <xf numFmtId="0" fontId="19" fillId="33" borderId="15" xfId="0" applyFont="1" applyFill="1" applyBorder="1" applyAlignment="1">
      <alignment horizontal="center" vertical="center"/>
    </xf>
    <xf numFmtId="0" fontId="23" fillId="35" borderId="15" xfId="0" applyFont="1" applyFill="1" applyBorder="1" applyAlignment="1">
      <alignment vertical="top" wrapText="1"/>
    </xf>
    <xf numFmtId="0" fontId="0" fillId="0" borderId="0" xfId="0" applyAlignment="1">
      <alignment horizontal="right" vertical="center"/>
    </xf>
    <xf numFmtId="0" fontId="19" fillId="35" borderId="15" xfId="0" applyFont="1" applyFill="1" applyBorder="1" applyAlignment="1">
      <alignment vertical="top" wrapText="1"/>
    </xf>
    <xf numFmtId="0" fontId="24" fillId="35" borderId="15" xfId="0" applyFont="1" applyFill="1" applyBorder="1" applyAlignment="1">
      <alignment vertical="top" wrapText="1"/>
    </xf>
    <xf numFmtId="176" fontId="0" fillId="0" borderId="0" xfId="0" applyNumberFormat="1">
      <alignment vertical="center"/>
    </xf>
    <xf numFmtId="0" fontId="31" fillId="0" borderId="13" xfId="0" applyFont="1" applyBorder="1" applyAlignment="1">
      <alignment horizontal="center" vertical="center"/>
    </xf>
    <xf numFmtId="0" fontId="31" fillId="0" borderId="15" xfId="0" applyFont="1" applyBorder="1" applyAlignment="1">
      <alignment horizontal="center" vertical="center"/>
    </xf>
    <xf numFmtId="0" fontId="32" fillId="0" borderId="13" xfId="0" applyFont="1" applyBorder="1" applyAlignment="1">
      <alignment horizontal="center" vertical="center"/>
    </xf>
    <xf numFmtId="0" fontId="32" fillId="0" borderId="13" xfId="0" applyFont="1" applyBorder="1">
      <alignment vertical="center"/>
    </xf>
    <xf numFmtId="0" fontId="32" fillId="0" borderId="15" xfId="0" applyFont="1" applyBorder="1">
      <alignment vertical="center"/>
    </xf>
    <xf numFmtId="0" fontId="32" fillId="0" borderId="15" xfId="0" applyFont="1" applyBorder="1" applyAlignment="1">
      <alignment horizontal="center" vertical="center"/>
    </xf>
    <xf numFmtId="0" fontId="29" fillId="0" borderId="13" xfId="0" applyFont="1" applyBorder="1" applyAlignment="1">
      <alignment horizontal="center" vertical="center"/>
    </xf>
    <xf numFmtId="0" fontId="23" fillId="0" borderId="10" xfId="0" applyFont="1" applyBorder="1" applyAlignment="1">
      <alignment vertical="center" wrapText="1"/>
    </xf>
    <xf numFmtId="0" fontId="23" fillId="0" borderId="10" xfId="0" applyFont="1" applyBorder="1">
      <alignment vertical="center"/>
    </xf>
    <xf numFmtId="0" fontId="23" fillId="0" borderId="10" xfId="0" applyFont="1" applyBorder="1" applyAlignment="1">
      <alignment horizontal="left" vertical="center" wrapText="1"/>
    </xf>
    <xf numFmtId="0" fontId="23" fillId="0" borderId="10" xfId="0" applyFont="1" applyBorder="1" applyAlignment="1">
      <alignment vertical="top" wrapText="1"/>
    </xf>
    <xf numFmtId="0" fontId="0" fillId="36" borderId="13" xfId="0" applyFill="1" applyBorder="1" applyAlignment="1">
      <alignment horizontal="center" vertical="center"/>
    </xf>
    <xf numFmtId="0" fontId="23" fillId="36" borderId="15" xfId="0" applyFont="1" applyFill="1" applyBorder="1" applyAlignment="1">
      <alignment vertical="top" wrapText="1"/>
    </xf>
    <xf numFmtId="0" fontId="0" fillId="36" borderId="15" xfId="0" applyFill="1" applyBorder="1" applyAlignment="1">
      <alignment horizontal="center" vertical="center"/>
    </xf>
    <xf numFmtId="0" fontId="0" fillId="36" borderId="13" xfId="0" applyFill="1" applyBorder="1">
      <alignment vertical="center"/>
    </xf>
    <xf numFmtId="0" fontId="0" fillId="36" borderId="15" xfId="0" applyFill="1" applyBorder="1">
      <alignment vertical="center"/>
    </xf>
    <xf numFmtId="0" fontId="16" fillId="38" borderId="0" xfId="0" applyFont="1" applyFill="1">
      <alignment vertical="center"/>
    </xf>
    <xf numFmtId="0" fontId="16" fillId="39" borderId="0" xfId="0" applyFont="1" applyFill="1">
      <alignment vertical="center"/>
    </xf>
    <xf numFmtId="0" fontId="19" fillId="34" borderId="10" xfId="0" applyFont="1" applyFill="1" applyBorder="1" applyAlignment="1">
      <alignment horizontal="center" vertical="center"/>
    </xf>
    <xf numFmtId="0" fontId="19" fillId="34" borderId="13" xfId="0" applyFont="1" applyFill="1" applyBorder="1" applyAlignment="1">
      <alignment horizontal="center" vertical="center"/>
    </xf>
    <xf numFmtId="0" fontId="19" fillId="34" borderId="14" xfId="0" applyFont="1" applyFill="1" applyBorder="1" applyAlignment="1">
      <alignment horizontal="center" vertical="center"/>
    </xf>
    <xf numFmtId="0" fontId="19" fillId="34" borderId="15" xfId="0" applyFont="1" applyFill="1" applyBorder="1" applyAlignment="1">
      <alignment horizontal="center" vertical="center"/>
    </xf>
    <xf numFmtId="0" fontId="33" fillId="37" borderId="0" xfId="0" applyFont="1" applyFill="1">
      <alignment vertical="center"/>
    </xf>
  </cellXfs>
  <cellStyles count="44">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2" xr:uid="{00000000-0005-0000-0000-000029000000}"/>
    <cellStyle name="標準 2 2" xfId="43" xr:uid="{00000000-0005-0000-0000-00002A000000}"/>
    <cellStyle name="良い" xfId="6" builtinId="26" customBuiltin="1"/>
  </cellStyles>
  <dxfs count="0"/>
  <tableStyles count="0" defaultTableStyle="TableStyleMedium2" defaultPivotStyle="PivotStyleLight16"/>
  <colors>
    <mruColors>
      <color rgb="FF0000FF"/>
      <color rgb="FFCCE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藤田幸憲" refreshedDate="46127.422456365741" createdVersion="8" refreshedVersion="8" minRefreshableVersion="3" recordCount="149" xr:uid="{5CD3F417-D5C4-4423-A358-D185DF46E20C}">
  <cacheSource type="worksheet">
    <worksheetSource ref="A1:O150" sheet="問題"/>
  </cacheSource>
  <cacheFields count="17">
    <cacheField name="班名" numFmtId="0">
      <sharedItems containsBlank="1" count="12">
        <m/>
        <s v="00全班共通"/>
        <s v="01本部長支援"/>
        <s v="02広報"/>
        <s v="03総務"/>
        <s v="04サービス"/>
        <s v="05お客様対応"/>
        <s v="06設備"/>
        <s v="07資材"/>
        <s v="08セキュリティ"/>
        <s v="09社内システム"/>
        <s v="10情報統括"/>
      </sharedItems>
    </cacheField>
    <cacheField name="シーン" numFmtId="0">
      <sharedItems containsBlank="1" count="4">
        <m/>
        <s v="シーン1"/>
        <s v="シーン2"/>
        <s v="シーン3"/>
      </sharedItems>
    </cacheField>
    <cacheField name="No." numFmtId="0">
      <sharedItems containsString="0" containsBlank="1" containsNumber="1" containsInteger="1" minValue="1" maxValue="8"/>
    </cacheField>
    <cacheField name="時間帯" numFmtId="0">
      <sharedItems containsBlank="1"/>
    </cacheField>
    <cacheField name="共通" numFmtId="0">
      <sharedItems containsBlank="1"/>
    </cacheField>
    <cacheField name="共／個" numFmtId="0">
      <sharedItems containsBlank="1" count="3">
        <m/>
        <s v="共通"/>
        <s v="個別"/>
      </sharedItems>
    </cacheField>
    <cacheField name="問題" numFmtId="0">
      <sharedItems containsBlank="1" longText="1"/>
    </cacheField>
    <cacheField name="解答例" numFmtId="0">
      <sharedItems containsBlank="1" longText="1"/>
    </cacheField>
    <cacheField name="ｺﾐｭﾆｹｰｼｮﾝ" numFmtId="0">
      <sharedItems containsBlank="1"/>
    </cacheField>
    <cacheField name="評価基準（ｺﾐｭﾆｹｰｼｮﾝ）" numFmtId="0">
      <sharedItems containsBlank="1" longText="1"/>
    </cacheField>
    <cacheField name="情報収集" numFmtId="0">
      <sharedItems containsBlank="1"/>
    </cacheField>
    <cacheField name="評価基準（情報収集）" numFmtId="0">
      <sharedItems containsBlank="1" longText="1"/>
    </cacheField>
    <cacheField name="情報分析" numFmtId="0">
      <sharedItems containsBlank="1"/>
    </cacheField>
    <cacheField name="評価基準（情報分析）" numFmtId="0">
      <sharedItems containsBlank="1" longText="1"/>
    </cacheField>
    <cacheField name="想像・先読み" numFmtId="0">
      <sharedItems containsBlank="1"/>
    </cacheField>
    <cacheField name="評価基準（想像・先読み）" numFmtId="0">
      <sharedItems containsBlank="1" longText="1"/>
    </cacheField>
    <cacheField name="計画"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m/>
    <m/>
    <m/>
    <x v="0"/>
    <m/>
    <m/>
    <m/>
    <m/>
    <m/>
    <m/>
    <m/>
    <m/>
    <m/>
    <m/>
    <m/>
  </r>
  <r>
    <x v="1"/>
    <x v="1"/>
    <n v="1"/>
    <s v="01発災当日18時"/>
    <s v="共通01"/>
    <x v="1"/>
    <s v="発災当日18時すぎ_x000a__x000a_在宅勤務の残業中に激しい揺れに襲われましたが、ようやく揺れが収まりました。輻輳中でネットはつながりにくい状況です。_x000a__x000a_あなたならどのような行動をとりますか？_x000a_何を使用し、何を行うか具体的に記述して下さい。_x000a__x000a_※評価対象コンピテンシー：情報収集力、想像・先読み力、計画力"/>
    <s v="・先ずは自己の安全確保、家族・家屋の確認、自身の安否の自主登録_x000a_・自身の業務環境の確保_x000a_・連絡手段の確立_x000a__x000a_■改訂案（自身の安全確保）_x000a_まずは自身の安全を確保し窓や家具等から離れる。_x000a__x000a_テレビ・ラジオなどの公共放送がつく状態であれば災害情報を収集（避難場所などの指示も確認）。上司や同僚への連絡は確保できた通信手段をもって行うが、つながりにくい状態が継続であれば災対スマホでの優先通信などを活用し電話会議への参加や音声通話での連絡手段を取る。ネットの接続が悪いのでチャットにてメッセージを残し応答を待つ。_x000a__x000a_ネットに繋がるタイミングがあれば安否確認システムへ登録を行う。_x000a__x000a_リモートでの対処対応が可能と考えられる場合は通信連絡手段や安全な場所を確保し、非常態勢の発令に備える。不可能なら自主・自動で駆けつけし、必要な活動を開始する。部下等、関係社員の安全確認を行う。"/>
    <m/>
    <m/>
    <s v="●"/>
    <s v="≪情報収集力≫発災直後なので自ら収集でOK、適切な情報を収集できているか？_x000a_・自ら情報収集しようとしている　１点（フロア内の被災状況の情報収集）_x000a_・指示をして、問題解決に必要な情報を収集している　２点（フロア内の被災状況＋自班の社員の被災状況の情報収集）_x000a_・先手先手で指示をして、問題解決に必要な情報を災対本部などで班内外から情報収集している　３点（フロア内の被災状況＋災対本部を含めた班内外の被災状況の情報収集）_x000a__x000a_■改定案_x000a_1点：災害情報を自ら情報収集しようとしている_x000a_2点：災害情報に加えて、社内関係者の安否、被災状況、外にいる場合は家族の安否など、自ら情報収集しようとしている_x000a_3点：通信状況が悪いことを前提に、事前にチャットを送り送信されるのを待つなど、創意工夫をしながら情報収集をしようとしている　"/>
    <m/>
    <m/>
    <s v="●"/>
    <s v="≪先読み力≫発災直後の限られた情報から何が起こるのか先読みできるか？_x000a_・これから起こりうる自体（余震・津波）に対して自身で行動できる。　1点_x000a_・これから起こりうる自体（余震・津波）に対して自宅状況、家族への指示の行動ができる。2点_x000a_・自宅の状況から、サービス影響が大きいことを想像できていると2点_x000a_・これから起こりうる自体（余震・津波）に対して自宅状況、家族への指示の行動＋災対員としての初動アクションがとれる。3点_x000a__x000a_■改訂案_x000a_1点：余震や津波など、これから身の回りに起こることを想像できている_x000a_2点：自身に加えて、家族や、班員、サービスにどのような影響が出るのかを想像できている_x000a_3点：自身に加えて、家族や、班員、サービス影響について想像した内容を情報収集や計画に活用している"/>
    <s v="●"/>
  </r>
  <r>
    <x v="1"/>
    <x v="1"/>
    <n v="2"/>
    <s v="01発災当日18時"/>
    <s v="共通02"/>
    <x v="1"/>
    <s v="発災当日18時すぎ_x000a__x000a_Teamsチャットでの他班のやり取りを見ていると、首都圏内のドコモビジネスのオフィスや各社員の自宅もネットがつながりにくい状況のようです。小規模ながら余震も数回発生しています。_x000a__x000a_あなたならどのような行動をとりますか？_x000a_何を使用し、何を行うか具体的に記述して下さい。_x000a__x000a_※評価対象コンピテンシー：情報収集力"/>
    <s v="安全な場所、食料等を確保し、継続して被災状況の確認を実施。安否確認に対して、追加の情報を随時Biz安否システムへ登録。_x000a__x000a_■改訂案（サービス影響の確認）_x000a_自身および家族の安全確保を行いつつ、被害が首都圏内の広域に生じていることを想定し、今後の初動対応上重要となる情報（「自身および家族の継続的な安全確保のための水食糧等の調達可否、生活インフラ基盤状況」や「班拠点や支援拠点への駆付け可否判断のための公共交通機関の稼働状況」を基本とし、「班活動の開始に備え班長/副班長や主要班員の安否、稼働可否、連絡手段の確保状況」や「首都圏の被災状況から想定される自班への影響」など）を想定した上で、先手先手で社内関係者の安否やサービス影響に関する情報を収集する。"/>
    <m/>
    <m/>
    <s v="●"/>
    <s v="≪情報収集力≫発災直後なので自ら収集でOK、適切な情報を収集できているか？_x000a_・自ら情報収集しようとしている　１点（フロア内の被災状況の情報収集）_x000a_・指示をして、問題解決に必要な情報を収集している　２点（フロア内の被災状況＋自班の社員の被災状況の情報収集）_x000a_・先手先手で指示をして、問題解決に必要な情報を災対本部などで班内外から情報収集している　３点（フロア内の被災状況＋災対本部を含めた班内外の被災状況の情報収集）_x000a__x000a_■改定案_x000a_1点：災害情報を自ら情報収集しようとしている_x000a_2点：広域での被害発生を想定し、社内関係者の安否やサービス影響に関する情報を自ら収集しようとしている_x000a_3点：広域での被害発生を想定し、今後の初動対応上重要となる情報を想定した上で、先手先手で社内関係者の安否やサービス影響に関する情報を自ら収集しようとしている"/>
    <m/>
    <m/>
    <m/>
    <m/>
    <m/>
  </r>
  <r>
    <x v="1"/>
    <x v="1"/>
    <n v="3"/>
    <s v="02発災当日18時半"/>
    <s v="共通07"/>
    <x v="1"/>
    <s v="発災当日18時半_x000a__x000a_自身および家族の安全は確保されました。その中で以下の情報が同時に入ってきた場合に初動対応において、最優先で分析確認する情報はどれかを選択して下さい。また、その理由を「情報の確からしさ」と「リスクの大きさ（影響範囲×緊急性）」の観点で説明して下さい。_x000a__x000a_A：自治体公式SNS「○○市で震度6強を観測。被害状況を確認中」_x000a_B：SNS投稿「○○駅が全壊。多数のけが人がいる」_x000a_C：班員からのTeamsチャット「サービス班から●●サービスの通信断を検知の模様」_x000a_D：班員からのTeamsチャット「自宅周辺で停電している」_x000a__x000a_※評価対象コンピテンシー：情報分析力"/>
    <s v="C_x000a_・信頼性：自社システムによる客観データであり、誤情報の可能性が低い_x000a_・影響範囲：通信断は社会・顧客影響が即時かつ広範囲に及ぶ可能性がある_x000a_・緊急性：復旧対応や対外説明の判断に直結する"/>
    <m/>
    <m/>
    <m/>
    <m/>
    <s v="●"/>
    <s v="≪情報分析力≫_x000a_・C以外を選択したら1点_x000a_・Cを選択しているうち、信頼性、影響範囲、緊急性のうち二つ説明できていれば2点_x000a_・Cを選択しているうち、信頼性、影響範囲、緊急性のうち三つ説明できていれば3点_x000a__x000a_■改定案_x000a_1点：C以外を選択、もしくはCを選択し、信頼性、影響範囲、緊急性のうちの1つが説明されている_x000a_2点：Cを選択し、信頼性、影響範囲、緊急性のうちの2つが適切に説明されている_x000a_3点：Cを選択し、信頼性、影響範囲、緊急性の全てが適切に説明されている"/>
    <m/>
    <m/>
    <m/>
  </r>
  <r>
    <x v="1"/>
    <x v="1"/>
    <n v="4"/>
    <s v="03発災当日19時"/>
    <s v="共通03"/>
    <x v="1"/>
    <s v="発災当日19時_x000a__x000a_会社スマートフォンにて全社エスカレーションメールを受信しました。_x000a_「西日本初動本部の確立宣言が出されました。」_x000a__x000a_あなたならどのような行動をとりますか？_x000a_何を使用し、何を行うか具体的に記述して下さい。_x000a__x000a_※評価対象コンピテンシー：情報収集力、計画力"/>
    <s v="災害対応ができるように環境準備を実施。携帯電話、パソコン立上げ、社内コミニケーション環境立上げ、設備班の関連メンバーとのコミニケーション確立、情報連携ができるように準備を行う。また自分の役割としての装置影響等の確認を行う。_x000a__x000a_■改定案_x000a_まずは災害対応が実施可能な環境を準備する。_x000a_・通信ツールが使用可能か確認（携帯電話、PC、社内共有用ツールなど）_x000a_・関係メンバーとの情報連携を確立（teamsのグループ等で情報連携を実施）_x000a__x000a_設備班_x000a_・設備班の電力部門：AE社と連携し電力設備状況の把握と情報共有を実施_x000a_・ファイバーチームとしての対応予定を確認し、必要によりグループ他社の保守物品を借りるか、メーカーから新規に購入可能かの確認を依頼する。"/>
    <m/>
    <m/>
    <s v="●"/>
    <s v="≪情報収集力≫_x000a_・自身の確認　1点_x000a_・班内に閉じたアクション　2点_x000a_・班間へのアクション　3点_x000a__x000a_■改定案_x000a_1点：今後の対応に向けて、自ら情報収集しようとしている_x000a_2点：今後の対応に向け、班内や関連組織から情報収集している_x000a_3点：班の代表として、今後の対応に向け、班内や関連組織から情報収集している"/>
    <m/>
    <m/>
    <m/>
    <m/>
    <s v="●"/>
  </r>
  <r>
    <x v="1"/>
    <x v="1"/>
    <n v="5"/>
    <s v="03発災当日19時"/>
    <s v="共通04"/>
    <x v="1"/>
    <s v="発災当日19時_x000a__x000a_輻輳のため、携帯電話が繋がりにくい状態が継続しています。会社スマートフォンは通信ができる状況だが、自班の班長、班員は電話やチャットに応答せず、連絡がとれない状況です。_x000a__x000a_あなたならどのような行動をとりますか？_x000a_何を使用し、何を行うか具体的に記述して下さい。_x000a__x000a_※評価対象コンピテンシー：想像・先読み力、計画力"/>
    <s v="・携帯、SMS、Teams、Eメール等のあらゆるツールを駆使し、本部長支援における班長・班員との連絡確保_x000a_・班員の安否や業務対応可否が確認できるまで、本部長支援の代表として、全社情報共有の輪への参加や危機管理DBの確認・登録を行う_x000a__x000a_■改定案_x000a_発災から1時間経過した時点で連絡が取れない状況であることから、班長や班員がどのような状況におかけているかを想定する。_x000a__x000a_情報統括班（危機管理室）の支援を仰ぎながら、災対員名簿の災対スマホの電話番号も活用して、班長や班員との連絡を試行する。班長や班員の安否や業務対応可否が確認できるまで、自班の代表として、全社情報共有の輪への参加や危機管理DBの確認・登録を行う。"/>
    <m/>
    <m/>
    <m/>
    <m/>
    <m/>
    <m/>
    <s v="●"/>
    <s v="≪先読み力≫発災から1時間経過した状況で何が起こるのか先読みできるか？_x000a_・これら情報による影響に対して自身で行動できる。　1点_x000a_・これら情報による影響に対して班内（班員）への指示の行動ができる。2点_x000a_・これら情報による影響に対して班内（班員）への影響を踏まえて本部等に本部長支援班の想定される状況を共有する。3点_x000a__x000a_■改定案_x000a_1点：今後の流れを想像・先読みした上で行動している。_x000a_2点：連絡の取れない班長や班員の置かれている状況を想定しつつ、必要な行動を想定している。_x000a_3点：連絡の取れない班長や班員の置かれている状況を想定しつつ、当面は班の代表者としての対応が必要であることを想定している。"/>
    <s v="●"/>
  </r>
  <r>
    <x v="1"/>
    <x v="1"/>
    <n v="6"/>
    <s v="03発災当日19時"/>
    <s v="共通08"/>
    <x v="1"/>
    <s v="発災当日19時_x000a__x000a_SNSで「某国から弾道ミサイルが発射された」との情報を見つけました。_x000a__x000a_あなたならどのような行動を行いますか？_x000a_何を使用し、何を行うか具体的に記述して下さい。_x000a__x000a_※評価対象コンピテンシー：情報収集力、情報分析力、想像・先読み力"/>
    <s v="・SNSのニセ情報であると想定し、その他の優先すべき事項を対応する_x000a_(念のため、本当だったことを想定し可能な限り安全な場所に退避する)_x000a_・SNS情報の正確性に関する情報収集を行う_x000a_・TV・ラジオ等の報道発表を重視する_x000a_・情報統括班員の場合、情報が錯そうしている可能性を想定し、現時点で集まっている情報の「出所・情報源」「鮮度・いつの情報か」「精度・正確さ」を確認し、今後の情報収集プロセスに異常が無いか確認する_x000a__x000a_■改定案_x000a_むやみに情報を信じて拡散することは控え、信頼できる公式な情報をテレビやネットで情報収集を行う。念のため、弾道ルートや落下予測地点などの情報は事前に確認しておく。確定情報として確認が取れた場合は、チームメンバーや災害対策メンバーへも情報共有するとともに、特に弾道ルートや落下予測地点に近い場所にいるメンバーには不要不急の外出を控え、原則自宅待機するよう指示する。"/>
    <m/>
    <m/>
    <s v="●"/>
    <s v="≪情報収集力≫明らかなフェイクニュースでは無いので積極的な情報収集が行えるか？_x000a_・自社で同様の事象が起きていないか、周囲から情報収集をおこなえば　１点_x000a_・世の中の情報を収集する行動を見せれば　２点_x000a_・SNS情報収集ツールでの確認等、さらにアクションをおこしていれば　３点_x000a__x000a_■改定案_x000a_1点：弾道ミサイル情報に関して情報収集しようとしている_x000a_2点：弾道ミサイル情報に関して、Jアラート情報を確認している_x000a_3点：Jアラート情報を確認し、真である可能性が高い場合は、班の代表として今後の対応に向けた班内や関連組織から情報収集している"/>
    <s v="●"/>
    <s v="≪情報分析力≫得られた情報の正確性について論理的な分析ができるか？本来なら、Jアラートでくる情報だから惑わされてはダメだ_x000a_・情報分析（重大な影響を及ぼす可能性がある因子の特定）を試みている　１点_x000a_・情報分析を行い、重大な影響を及ぼす可能性がある因子の特定している　２点_x000a_・情報分析を行い、重大な影響を及ぼす可能性がある因子の特定した上で、災対本部など、班間でのサポートを要請（注意喚起）する等の行動を起こしている　３点_x000a__x000a_■改定案_x000a_1点：情報の真偽を確かめている_x000a_2点：情報の真偽を確かめた上で、重大な影響を及ぼす可能性がある因子の特定している_x000a_3点：情報の真偽の確認と、重大な影響を及ぼす可能性がある因子を特定した上で、災対本部など、班間でのサポートを要請（注意喚起）する等の行動を起こしている"/>
    <s v="●"/>
    <s v="≪想像・先読み力≫ニュースを想像しての行動ができるか？迷わされている社員がいることを想定して上記を注意喚起する_x000a_・このような状況で、フェイクニュース等の可能性を示唆する行動があれば　1点（なければ0）_x000a_・類似のフェイクニュースが出てくるため、情報展開や注意喚起をおこなえば　２点_x000a_・拡散しないように等、被害の拡大を抑止する行動ができていれば　３点_x000a__x000a_■改定案_x000a_情報分析の結果、偽と想定した場合_x000a_1点：フェイクニュースに惑わされている社員がいることを想定している_x000a_2点：類似のフェイクニュースが出ることを想定し、情報展開や注意喚起をしている_x000a_3点：情報展開や注意喚起に加えて、拡散しないように等、被害拡大抑止の行動をしている_x000a__x000a_情報分析の結果、真と想定した場合_x000a_1点：本情報を把握していない社員がいることを想定している_x000a_2点：本情報を把握していない社員がいることを想定し、早急な注意喚起が必要であると想定している_x000a_3点：弾道ルートや落下予測地点に近い場所にいるメンバーには不要不急の外出を控え、原則自宅待機するよう指示が必要になることを想定している"/>
    <m/>
  </r>
  <r>
    <x v="1"/>
    <x v="1"/>
    <n v="7"/>
    <s v="03発災当日19時"/>
    <s v="共通05"/>
    <x v="1"/>
    <s v="発災当日19時半_x000a__x000a_全社情報共有の会議に参加したところ、自班で参加しているのはあなた一人でした。会議進行は西日本初動本部が行っています。_x000a__x000a_心の声（なんとか班員を招集しないといけないな・・・）_x000a__x000a_あなたならどのような行動をとりますか？_x000a_何を使用し、何を行うか具体的に記述して下さい。_x000a__x000a_※評価対象コンピテンシー：情報収集力、計画力"/>
    <s v="ねらい：ひとりしかいないから自律的動かないとではなく、人集めに走ってほしい_x000a__x000a_・担当システム接続しサービス死活確認を行う_x000a_・監視センタと連携や監視ツールを使用し、自身が担当しているシステムの状況確認などを確認する_x000a_・担当システムが影響している業務継続性について報告をする_x000a__x000a_■改定案_x000a_まず自班のメンバーが参加できていない理由をtemasのチャットなどで確認し、参加できない状況なのか、連絡がつかない状況かを区別する。_x000a__x000a_その上で、自班が機能するための代替策を計画する。代替策を実行するために班員が不足する場合は他班に支援を求める。また、班員が不在で組成できていない状況を本部と共有する。その前提で、業務の優先度を作成し、被災状況の確認や応急復旧対応などの最優先事項から着手する。_x000a__x000a__x000a__x000a_"/>
    <m/>
    <m/>
    <s v="●"/>
    <s v="≪情報収集力≫発災直後なので自ら収集でOK、適切な情報を収集できているか？_x000a_・自ら情報収集しようとしている　１点（フロア内の被災状況の情報収集）_x000a_・指示をして、問題解決に必要な情報を収集している　２点（フロア内の被災状況＋自班の社員の被災状況の情報収集）_x000a_・先手先手で指示をして、問題解決に必要な情報を災対本部などで班内外から情報収集している　３点（フロア内の被災状況＋災対本部を含めた班内外の被災状況の情報収集）_x000a__x000a_■改定案_x000a_1点：班内の情報を収集しようとしている_x000a_2点：全社情報共有の会議に必要な情報に関して情報収集している_x000a_3点：情報収集の体制確立に向けて、班員の招集や他班との連携を検討している"/>
    <m/>
    <m/>
    <m/>
    <m/>
    <s v="●"/>
  </r>
  <r>
    <x v="1"/>
    <x v="1"/>
    <n v="8"/>
    <s v="04発災当日20時"/>
    <s v="共通06"/>
    <x v="1"/>
    <s v="発災当日19時半_x000a__x000a_NHKニュースの交通情報を会社スマートフォンで確認しました。_x000a_・東京都、神奈川県、千葉県、埼玉県の鉄道は全線停止_x000a_・道路は交通規制が発令され、各地で渋滞が発生中_x000a_（下図の高速道路、国道は一般車両通行止め、環状七号線内側方向の通行禁止）_x000a__x000a_あなたならどのような行動をとりますか？_x000a_何を使用し、何を行うか具体的に記述して下さい。_x000a__x000a_マップ引用（警視庁）_x000a_https://www.keishicho.metro.tokyo.lg.jp/kurashi/saigai/shinsai_kisei/kisei/kisei_1.html_x000a__x000a_※評価対象コンピテンシー：情報収集力、情報分析力、想像・先読み力"/>
    <s v="・不要不急の移動禁止措置の想定_x000a_・ニュース情報の正確性、交通状況に関する情報収集を行う_x000a__x000a_■改定案_x000a_交通状況に関する情報収集を行いつつ、不要不急の移動禁止措置を想定する。_x000a_必要に応じて交通状況等シェアする。_x000a__x000a_＜各班対応＞_x000a_・資材の物流、輸送影響を想定_x000a_・出社メンバで帰宅困難者の宿泊対応_x000a_・各ビルでの待機者に対する空調稼働、室温、照明の確保確認及び食料の手配_x000a_・災対メンバを対象に翌日の出社可否確認（一般メンバは在宅とする）_x000a__x000a_・各総務厚生班メンバへビル籠城の指示をおこなう。_x000a_・各総務厚生班メンバへ各ビル備蓄品の確認と必要により配布を指示する。_x000a_・各総務厚生班メンバへフロア在留者に対し、帰宅しなければならない社員等の聞き取り等把握をおこなう。_x000a__x000a_・ロジスコと連絡が取れた場合、配送手段の確認（ヘリ、その他交通手段の確認）_x000a_・サービス班、災対本部には交通事情によりロジスコ配送が困難となる状況を伝えるのと合わせ、必要な資材配送ルート確保に向けた調整要請が発生する可能性について連絡_x000a_"/>
    <m/>
    <m/>
    <s v="●"/>
    <s v="≪情報収集力≫引き続き一人の状況で、より広範囲にコミュニケーションを取ろうといているか？_x000a_・自ら情報収集しようとしている　１点_x000a_・指示をして、問題解決に必要な情報を収集している　２点_x000a_・先手先手で指示をして、問題解決に必要な情報を災対本部などで班内外から情報収集している　３点_x000a__x000a_■改定案_x000a_1点：必要な追加情報を収集している_x000a_2点：情報分析や今後の対応に必要な情報を収集している_x000a_3点：災害対応の全体像を見据えた上で、先手先手で指示をして、必要な情報を班内外から情報収集している"/>
    <s v="●"/>
    <s v="≪情報分析力≫本部員/班員の居場所想定と得られた情報から論理的な分析ができているか？_x000a_・情報分析（重大な影響を及ぼす可能性がある因子の特定）を試みている　１点_x000a_・情報分析を行い、重大な影響を及ぼす可能性がある因子の特定している　２点_x000a_・情報分析を行い、重大な影響を及ぼす可能性がある因子の特定した上で、災対本部など、班間でのサポートを要請（注意喚起）する等の行動を起こしている　３点_x000a_※想像、先読み力の回答と合わせた分析となっているか要確認_x000a__x000a_■改定案_x000a_1点：自班やサービスへの影響がないかどうかを確かめている_x000a_2点：自班やサービスへの重大な影響を及ぼす可能性がある因子を特定している_x000a_3点：自班やサービスへの重大な影響を及ぼす可能性がある因子を特定した上で、災対本部など、班間でのサポートを要請（注意喚起）する等の行動を起こしている"/>
    <s v="●"/>
    <s v="≪想像、先読み力≫発災から2時間経過した状況で何が起こるのか先読み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_x000a__x000a_■改定案_x000a_1点：交通インフラ停止に伴う影響を想像している_x000a_2点：交通インフラ停止に伴う自班（帰宅困難者等）への影響を具体的に想像している_x000a_3点：交通インフラ停止に伴う自班（帰宅困難者等）やサービスへの影響を具体的に想像し、その対応や予防策を検討している"/>
    <m/>
  </r>
  <r>
    <x v="2"/>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_x000a__x000a_■改定案_x000a_携帯、SMS、Teams、Eメール、衛星携帯等のあらゆるツールを駆使したり、秘書への確認も含め班長との連絡を定期的に試みる。_x000a__x000a_班員とお互いの安全状況や現在位置を共有し、必要に応じて情報統括班との連絡を試みる。_x000a__x000a_安否確認と平行して、全社情報共有の輪への参加や危機管理DBの確認・登録を行う。班長代理を立てたり、副班長を中心とした体制を構築する。"/>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コミュニケーション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_x000a__x000a_■改定案_x000a_1点：班員への情報発信（一方向）_x000a_2点：自班内でコミュニケーションをとろうとしている（双方向）_x000a_3点：班長代理や副班長を中心とした体制を構築した上で、班間、班内でコミュニケーションをとろうとしている"/>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_x000a__x000a_■改定案_x000a_1点：班長への連絡を試みている、班員から情報を収集している_x000a_2点：SNS等を含めて複数の手段を活用して班長への連絡を試みている_x000a_　　　　現時点での班内のとりまとめに必要な情報を特定した上で班員から情報収集している_x000a_3点：班長への連絡の試みや班員からの情報収集に加えて、情報統括班への支援依頼や体制構築などを行っている"/>
    <m/>
    <m/>
    <m/>
    <m/>
    <m/>
  </r>
  <r>
    <x v="2"/>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_x000a__x000a_■改定案_x000a_全社情報共有の会議で班の代表として参加するための準備を具体的に計画をしている_x000a_具体的な計画＝班長代理の擁立、班の体制構築、収集情報のまとめ、班行動の計画、班間連携の計画？"/>
    <s v="●"/>
    <s v="≪コミュニケーション力≫_x000a_班内班員との連携を密に行う。（連絡が取れるツールで）_x000a_班内班員の状況を整理_x000a__x000a_■改定案_x000a_1点：班員への情報発信（一方向）_x000a_2点：全社情報共有の会議参加に向けて、自班内でコミュニケーションをとっている（双方向）_x000a_3点：班長代理や副班長を中心とした体制を構築した上で、班間、班内でコミュニケーションをとる準備をしている"/>
    <m/>
    <m/>
    <m/>
    <m/>
    <m/>
    <m/>
    <s v="●"/>
  </r>
  <r>
    <x v="2"/>
    <x v="2"/>
    <n v="3"/>
    <s v="04発災当日21時"/>
    <s v="個別"/>
    <x v="2"/>
    <s v="発災当日21時_x000a__x000a_会社スマートフォンを呼び出しているが応答はなく、Teamsチャットの既読もつかず、本部長（社長）の安否が不明です。_x000a_秘書室とは連絡が取れている状況です。_x000a__x000a_あなたならどのような行動をとりますか？_x000a_何を使用し、何を行うか具体的に記述して下さい。_x000a__x000a_※評価対象コンピテンシー：コミュニケーション力、情報収集力、計画力"/>
    <s v="・本部長（社長）の所在や状況について、秘書室等に確認_x000a_・本部長（社長）からの指示や確認依頼などがあれば対応できるよう、指示系統を確立_x000a__x000a_ネットがつながるのに、返事がないという事は班長の身に何かある可能性がある。そこで、安否確認をどうするか？"/>
    <s v="●"/>
    <s v="≪コミュニケーション≫班員と連絡が取れる状況になったので指示/展開が行えるか？_x000a_・当事実を自身や周囲のメンバに展開　１点_x000a_・当事実を踏まえ班内に展開し、情報収集を支持する　２点_x000a_・当事象を班間に状況を共有、他班の協力を求める等アクションをおこしていれば　３点"/>
    <s v="●"/>
    <s v="≪情報収集力≫班員と連絡が取れる状況になったので指示/展開が行えるか？_x000a_・自ら情報収集しようとしている　１点_x000a_・指示をして、問題解決に必要な情報を収集している　２点_x000a_　⇒まずは誰が災害対応可能かを情報収集する_x000a_・先手先手で指示をして、問題解決に必要な情報を災対本部などで班内外から情報収集している　３点"/>
    <m/>
    <m/>
    <m/>
    <m/>
    <s v="●"/>
  </r>
  <r>
    <x v="2"/>
    <x v="2"/>
    <n v="4"/>
    <s v="05発災当日22時"/>
    <s v="個別"/>
    <x v="2"/>
    <s v="発災当日22時_x000a__x000a_本部長（社長）と連絡が取れましたが、身動きがとれない状況です。_x000a_本部長の代行を立てるためにあなたならどのような行動を行いますか？_x000a__x000a_副社長A(代行順位1位)　：連絡は取れるが、動き出せるのは翌日18時以降の見通し。_x000a_副社長B(代行順位2位)　：連絡がとれない。_x000a_副社長C(代行順位3位)　：連絡が取れる。_x000a__x000a_※評価対象コンピテンシー：情報分析力、想像・先読み力、計画力"/>
    <s v="想定解答：首都圏復活予定時間までそのまま_x000a_AかC_x000a_Cにお願いした場合、Aが準備完了（しばらく伴走して、例えば翌日から交代）したら、Aに再度引き継ぐのか？"/>
    <m/>
    <m/>
    <m/>
    <m/>
    <s v="●"/>
    <s v="≪情報分析力≫_x000a_時間シーンとしては、西初動本部長が代行しているため、発災直後としては、問題ない。（このまま）"/>
    <s v="●"/>
    <s v="≪想像・先読み≫_x000a_24時間後を見据え、代取4役で行動可能な方を探す_x000a_社長の行動制限が発災24時間後に解除可能か？代行順位に従い、24時間後の状況を整理する"/>
    <s v="●"/>
  </r>
  <r>
    <x v="2"/>
    <x v="2"/>
    <n v="5"/>
    <s v="08発災翌日12時"/>
    <s v="個別"/>
    <x v="2"/>
    <s v="発災翌日12時_x000a__x000a_西日本初動本部から、料金減免のHP掲載予定について問い合わせがありました。_x000a__x000a_あなたならどのような行動をとりますか？_x000a_何を使用し、何を行うか具体的に記述して下さい。_x000a__x000a_※評価対象コンピテンシー：コミュニケーション力、情報収集力"/>
    <s v="・内閣府防災情報HPにおいて、災害救助法の適用情報を確認_x000a_・災害減免の実施について、社長報連相を準備_x000a_・関係各部の了承を得られ次第、広報室へコムのHP掲載依頼_x000a_・料金減免方針のアナウンス状況について危機管理DBへの登録"/>
    <s v="●"/>
    <s v="≪コミュニケーション≫班員と連絡が取れる状況になったので指示/展開が行えるか？_x000a_・当事実を自身や周囲のメンバに展開　１点_x000a_・当事実を班内および本部長に展開　２点_x000a_・班間に状況を共有、さらにアクションをおこしていれば　３点"/>
    <s v="●"/>
    <s v="≪情報収集力≫班員と連絡が取れる状況になったので指示/展開が行えるか？_x000a_・適用条件等を自身で収集　1点_x000a_・適用条件等を班員を巻き込んで収集、収集する体制を整える　2点_x000a_・班間の情報を含め収集（ほかにあるのか等）　3点_x000a_"/>
    <m/>
    <m/>
    <m/>
    <m/>
    <m/>
  </r>
  <r>
    <x v="2"/>
    <x v="2"/>
    <n v="6"/>
    <s v="08発災翌日12時"/>
    <s v="個別"/>
    <x v="2"/>
    <s v="発災翌日12時_x000a__x000a_西日本初動本部から、サービスごとの料金減免方針について問い合わせがありました。_x000a__x000a_あなたならどのような行動をとりますか？_x000a_何を使用し、何を行うか具体的に記述して下さい。_x000a__x000a_※評価対象コンピテンシー：コミュニケーション力"/>
    <s v="・全社料金減免方針について説明_x000a_・コムの公式HP掲載予定などのアナウンス状況について説明_x000a_・料金減免方針のアナウンス状況について危機管理DBへの登録"/>
    <s v="●"/>
    <s v="≪コミュニケーション≫班員と連絡が取れる状況になったので指示/展開が行えるか？_x000a_・自身や周囲のメンバに展開し、自己解決を図る　１点_x000a_・班内に展開し、班としての意思決定・回答をしている　２点_x000a_・2点に加え、班間に状況を共有、さらにアクション（同類質問がないようにとか）をおこしていれば　３点_x000a_"/>
    <m/>
    <m/>
    <m/>
    <m/>
    <m/>
    <m/>
    <m/>
  </r>
  <r>
    <x v="2"/>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_x000a__x000a_■改定案_x000a_自身やチームメンバー、災害対策メンバーの安否確認状況について報告するとともに、テレビやニュースなどで入手した情報についても合わせてシェアしつつ、班体制を再構築する。_x000a__x000a_全社情報共有の会議での報告や、危機管理DBへの記入、その他本部長からの指示などを確認のうえ、必要な対応を行う。"/>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_x000a_■改定案_x000a_1点：班長への情報提供（一方向）_x000a_2点：班長へのこれまでの対応事項や課題感に関するコミュニケーションをとっている（双方向）_x000a_3点：班長と双方向とのコミュニケーションに加えて、全社情報共有会議での報告や危機管理DBへの投入など、班外へも情報を共有し、コミュニケーションの活性化を行う"/>
    <m/>
    <m/>
    <m/>
    <m/>
    <m/>
    <m/>
    <m/>
  </r>
  <r>
    <x v="3"/>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3"/>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3"/>
    <x v="2"/>
    <n v="3"/>
    <s v="04発災当日21時"/>
    <s v="個別"/>
    <x v="2"/>
    <s v="発災当日21時_x000a__x000a_SNS上で、(実際には故障していない)「OCNがつながらない、NTTドコモビジネスの通信障害だ！」との投稿が200件/30分あったとSLCから電話がありました。_x000a__x000a_あなたならどのような行動をとりますか？_x000a_何を使用し、何を行うか具体的に記述して下さい。_x000a__x000a_※評価対象コンピテンシー：情報収集力、計画力"/>
    <s v="・必要に応じ、HPやSNSで正しい事実関係の発信を検討_x000a__x000a_＝＝＝_x000a_＜情報収集＞_x000a_OCNをはじめとして、NTT Comの通信障害の有無の再確認やSNSの掲載状況を確認するよう班員に指示する。_x000a__x000a_＜計画力＞_x000a_この状況を放置すれば誤った情報が広がる可能性があるので、適宜HPやSNSで正しい事実関係の情報発信の検討を班員に指示する。"/>
    <m/>
    <m/>
    <s v="●"/>
    <s v="≪情報収集力≫_x000a_・自ら情報収集しようとしている　１点_x000a_・指示をして、問題解決に必要な情報を収集している　２点_x000a_・先手先手で指示をして、問題解決に必要な情報を災対本部などで班内外から情報収集している　３点"/>
    <m/>
    <m/>
    <m/>
    <m/>
    <s v="●"/>
  </r>
  <r>
    <x v="3"/>
    <x v="2"/>
    <n v="4"/>
    <s v="05発災当日22時"/>
    <s v="個別"/>
    <x v="2"/>
    <s v="発災当日22時_x000a__x000a_電話がつながりはじめました。NHKから電話で「NTTドコモビジネスのサービス故障の状況を30分以内に教えてほしい」と連絡がありました。その後、共同通信、読売新聞からも同様の電話が来ました。_x000a__x000a_あなたならどのような行動をとりますか？_x000a_何を使用し、何を行うか具体的に記述して下さい。_x000a__x000a_※評価対象コンピテンシー：コミュニケーション力、情報収集力"/>
    <s v="・当座のサービス影響を確認のうえ、調査中であれば調査中と回答_x000a_・情報のアップデートがあれば随時連絡するなど真摯な対応を実施_x000a__x000a_＝＝＝_x000a_≪コミュニケーション力≫_x000a_会社の代表として、サービス影響に関する情報やQA集をもとに各メディアと意思疎通を図る。調査中の内容であれば調査中と回答する。情報のアップデートがあれば随時連絡するなど真摯に対応する。_x000a__x000a_＜情報収集＞_x000a_メディアからの問合せを予測しながら、先手先手で必要な情報を収集し、QA集を随時更新したり、メディアに能動的に情報発信することに備えるよう班員に指示する。_x000a__x000a_"/>
    <s v="●"/>
    <s v="≪コミュニケーション力≫_x000a_・班内で指示/連絡をとろうとしている　１点_x000a_・班内、班間で具体的に意思疎通（傾聴＋伝達）している　２点_x000a_・組織や立場を超えて、付加価値を付けた上で自身の考えを意思疎通（傾聴＋伝達）している　３点"/>
    <s v="●"/>
    <s v="≪情報収集力≫_x000a_・自ら情報収集しようとしている　１点_x000a_・指示をして、問題解決に必要な情報を収集している　２点_x000a_　⇒まずは誰が災害対応可能かを情報収集する_x000a_・先手先手で指示をして、問題解決に必要な情報を災対本部などで班内外から情報収集している　３点"/>
    <m/>
    <m/>
    <m/>
    <m/>
    <m/>
  </r>
  <r>
    <x v="3"/>
    <x v="2"/>
    <n v="5"/>
    <s v="08発災翌日12時"/>
    <s v="個別"/>
    <x v="2"/>
    <s v="発災翌日12時_x000a__x000a_複数のサービスが故障しており、オフィシャルサイトのトップに故障情報が乱立しています。_x000a__x000a_あなたならどのような行動をとりますか？_x000a_何を使用し、何を行うか具体的に記述して下さい。_x000a__x000a_※評価対象コンピテンシー：計画力"/>
    <s v="・まとめページを作成し、サービス故障情報を整理し発信_x000a__x000a_＝＝＝_x000a_＜計画力＞_x000a_情報を必要としている方に正しく情報を伝えるために、サービス故障情報を整理し、まとめページを作成した上で情報発信するように計画（担当者や役割の明確化）する。"/>
    <m/>
    <m/>
    <m/>
    <m/>
    <m/>
    <m/>
    <m/>
    <m/>
    <s v="●"/>
  </r>
  <r>
    <x v="3"/>
    <x v="2"/>
    <n v="6"/>
    <s v="08発災翌日12時"/>
    <s v="個別"/>
    <x v="2"/>
    <s v="発災翌日12時_x000a__x000a_ドコモ広報の担当者とのTeamsチャットのやり取りで、ドコモショップの店頭にて通信障害情報の掲示を1時間ごとに行うことが判明しました。_x000a__x000a_あなたならどのような行動を行いますか？_x000a_何を使用し、何を行うか具体的に記述して下さい。_x000a__x000a_※評価対象コンピテンシー：情報分析力、想像・先読み力"/>
    <s v="・法人向け代理サービスについても掲示の必要があるか検討_x000a__x000a_＝＝＝_x000a_≪情報分析力≫_x000a_出される情報や頻度について分析し適切な対応であるのか、またどのようなニーズがあるのか、情報を分析する。_x000a__x000a_≪想像、先読み力≫_x000a_ドコモショップの店頭にどのような属性、状況の方が来店されるか想像した上で、法人向け代理サービスのような具体的対応策を検討する。"/>
    <m/>
    <m/>
    <m/>
    <m/>
    <s v="●"/>
    <s v="≪情報分析力≫_x000a_・情報分析（重大な影響を及ぼす可能性がある因子の特定）を試みている　１点_x000a_・情報分析を行い、重大な影響を及ぼす可能性がある因子の特定している　２点_x000a_・情報分析を行い、重大な影響を及ぼす可能性がある因子の特定した上で、災対本部など、班間でのサポートを要請（注意喚起）する等の行動を起こしている　３点"/>
    <s v="●"/>
    <s v="≪想像、先読み力≫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m/>
  </r>
  <r>
    <x v="3"/>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4"/>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4"/>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4"/>
    <x v="2"/>
    <n v="3"/>
    <s v="04発災当日21時"/>
    <s v="個別"/>
    <x v="2"/>
    <s v="発災当日21時_x000a__x000a_自班のTeamsチャット上で各拠点の被災状況が報告されました。_x000a__x000a_・NTTドコモビジネスオフィスビルの被災状況として、事務室にモノが散乱しているエリア有_x000a_・猿楽ビルの玄関が被災し通行止めの状況_x000a_・大手町プレイスにて入室セキュリティシステムが一部停止_x000a_・その他のビルはエレベータの稼働が3割程度_x000a_・首都圏でビルに留まっているのは社員500名、委託業者320名、お客様55名_x000a_・重傷者（本人、家族）、家屋の重被害ともに数名のまま増加なし_x000a__x000a_あなたならどのような行動をとりますか？_x000a_何を使用し、何を行うか具体的に記述して下さい。_x000a__x000a_※評価対象コンピテンシー：コミュニケーション力、情報分析力、計画力"/>
    <s v="猿楽ビル在住者と連絡し、入ビル経路の確認と周知方法を検討し実施。状況をとりまとめ西日本初動本部/災対本部へ報告。危機管理DBへ記載。_x000a__x000a_■改定案（検討中）_x000a_以下、余震等の状況を確認・安全を確保しながら実施。_x000a_・各組織総務厚生班およびフロアリーダーへ引き続きの籠城を指示する。_x000a_・各組織総務厚生班およびフロアリーダーへ必要者への災対備蓄品配布を指示_x000a_・フロアの安全を確認しドア閉塞が可能な場所はセキュリティ上の観点から　ドア近くに人を配置する又は、ドアの閉塞（鍵はかけない）する。"/>
    <s v="●"/>
    <s v="≪コミュニケーション力≫　現状を打破するためにとるコミュニケーション_x000a_・班内で指示/連絡をとろうとしている　１点_x000a_・班内、班間で具体的に意思疎通（傾聴＋伝達）している　２点_x000a_・組織や立場を超えて、付加価値を付けた上で自身の考えを意思疎通（傾聴＋伝達）している　３点_x000a__x000a_■改定案_x000a_1点：班員への情報発信（一方向）_x000a_2点：自班内でコミュニケーションをとっている（双方向）_x000a_3点：班長不在の中でも班内の体制を構築した上で、班間、班内でコミュニケーションをとっている"/>
    <m/>
    <m/>
    <s v="●"/>
    <s v="≪情報分析力≫　セキュリティシステムの停止、通行止め、滞留者、重傷者の分析_x000a_・情報分析（重大な影響を及ぼす可能性がある因子の特定）を試みている　１点_x000a_・情報分析を行い、重大な影響を及ぼす可能性がある因子の特定している　２点_x000a_・情報分析を行い、重大な影響を及ぼす可能性がある因子の特定した上で、災対本部など、班間でのサポートを要請（注意喚起）する等の行動を起こしている　３点_x000a__x000a_■改定案_x000a_1点：お客様、社員、委託業者など関係者への影響を確かめている_x000a_2点：お客様、社員、委託業者など関係者への重大な影響を及ぼす可能性がある因子を特定している_x000a_3点：お客様、社員、委託業者など関係者への重大な影響を及ぼす可能性がある因子を特定した上で、具体的な対応策の検討や災対本部などへ班間サポートを要請する等の行動を起こしている"/>
    <m/>
    <m/>
    <s v="●"/>
  </r>
  <r>
    <x v="4"/>
    <x v="2"/>
    <n v="4"/>
    <s v="06発災翌日6時"/>
    <s v="個別"/>
    <x v="2"/>
    <s v="発災翌日6時_x000a__x000a_地震発生から約12時間後の安否集計結果が、回答数7,520名。2.5割程度が本人・家族・家屋に被害発生。業務可能者は出社・リモートを含め5割程度。_x000a__x000a_班長とは未だ連絡が取れていません。勤務可能な社員が限られる一方で、安否不明者が多数います。_x000a__x000a_あなたならどのような行動をとりますか？_x000a_何を使用し、何を行うか具体的に記述して下さい。_x000a__x000a_※評価対象コンピテンシー：コミュニケーション力、情報収集力、想像・先読み力"/>
    <s v="状況をとりまとめ西日本初動本部/災対本部へ報告。危機管理DBへ記載。業務が可能なメンバの選定と体制の確認。また具体的な業務の割り当てを実施。_x000a__x000a_■改定案（検討中）_x000a_・各組織総務厚生班とのコミュニケーションを行いながら、安否未登録者への個別確認を指示する。（安否回答状況を踏まえ他班へ働きかけたり、連携することはある？）_x000a_・安否登録状況を危機管理WEBへ登録する。_x000a_・テレビ・ラジオ等により交通状況を把握し、帰路の計画を立てる。　→？_x000a_・出社可能な総務厚生班への駆けつけを指示する。　→？"/>
    <s v="●"/>
    <s v="≪コミュニケーション力≫_x000a_・班内で指示/連絡をとろうとしている　１点_x000a_・班内、班間で具体的に意思疎通（傾聴＋伝達）している　２点_x000a_・組織や立場を超えて、付加価値を付けた上で自身の考えを意思疎通（傾聴＋伝達）している　３点_x000a__x000a_■改定案_x000a_1点：各組織総務厚生班への情報発信（一方向）_x000a_2点：各組織総務厚生班とコミュニケーションをとっている（双方向）_x000a_3点：各組織総務厚生班とコミュニケーションをとることに加え、班長不在の中でも班内の体制を構築した上で、班間、班内でコミュニケーションをとっている"/>
    <s v="●"/>
    <s v="≪情報収集力≫_x000a_・自ら情報収集しようとしている　１点_x000a_・指示をして、問題解決に必要な情報を収集している　２点_x000a_・先手先手で指示をして、問題解決に必要な情報を災対本部などで班内外から情報収集している　３点_x000a__x000a_■改定案_x000a_1点：自ら情報収集しようとしている_x000a_2点：指示をして各組織総務厚生班から安否不明者への対応状況や被害状況などの情報収集をしている_x000a_3点：班長不在の中でも班内の体制を構築した上で、先手先手で指示をして安否不明者への対応状況や被害状況などに関して災害対策本部などで班内外から情報収集している"/>
    <m/>
    <m/>
    <s v="●"/>
    <s v="≪想像、先読み力≫　未回答者の状況の想像、重傷者の容体の今後の経過_x000a_・次に起こる事を想定しようとしている　１点（何かしら予想している）_x000a_・次に起こる事を想定して、今できること（未回答者の捜索など）を検討している　２点_x000a_・災害対応の全体像を見据えた上で次に起こる事を想定して、具体的に対応や予防策を検討している　３点（先読みする中で、事態が悪化する物については対応や対策を立てる）_x000a__x000a_■改定案_x000a_1点：安否集計結果を元に次に起こる事を想定しようとしている_x000a_2点：安否集計結果を元に次に起こる事や自班やサービスへの影響を具体的に想像している_x000a_3点：安否集計結果を元に事態が改善や悪化することを先読みしながら自班やサービスへの影響を具体的に想像している"/>
    <m/>
  </r>
  <r>
    <x v="4"/>
    <x v="2"/>
    <n v="5"/>
    <s v="07発災翌日9時"/>
    <s v="個別"/>
    <x v="2"/>
    <s v="発災翌日9時_x000a__x000a_自班のTeamsチャットで、首都圏内のNTTドコモビジネスオフィスビルのエントランス等へ一般の避難者が入り、ビルに留まっているとの情報が多く寄せられています。各ビルとも空調は稼働しているが、室温、照明等は省力稼働となっています。_x000a__x000a_あなたはどのような対応を計画しますか？_x000a__x000a_※評価対象コンピテンシー：情報収集力、想像・先読み力、計画力"/>
    <s v="一般避難者の対応方針の確認と実対応。被災情報、食料等の被災用品の確認。怪我、体調不良者の確認と手当、隔離を実施。_x000a__x000a_解答例を要作成"/>
    <m/>
    <m/>
    <s v="●"/>
    <s v="≪情報収集力≫　食料、備蓄品の在庫、避難者の心理状況など_x000a_・自ら情報収集しようとしている　１点_x000a_・指示をして、問題解決に必要な情報を収集している　２点_x000a_・先手先手で指示をして、問題解決に必要な情報を災対本部などで班内外から情報収集している　３点_x000a__x000a_■改定案_x000a_1点：自ら情報収集しようとしている_x000a_2点：指示をして首都圏内のNTTドコモビジネスオフィスビルの状況の情報収集をしている_x000a_3点：避難者の心理面も含めて、今後の対応に必要な情報を先手先手で指示をして、災害対策本部など班内外から情報収集している"/>
    <m/>
    <m/>
    <s v="●"/>
    <s v="≪想像、先読み力≫　食料、備蓄品の在庫、避難者の心理状況などの今後の変化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_x000a__x000a_■改定案_x000a_1点：次に起こる事を想定しようとしている_x000a_2点：次に起こる事を想定しつつ、必要な行動を具体的に検討している_x000a_3点：災害対応の全体プロセスを見据えて、次に起こる事を想定しつつ、必要な行動を具体的に検討している"/>
    <s v="●"/>
  </r>
  <r>
    <x v="4"/>
    <x v="2"/>
    <n v="6"/>
    <s v="08発災翌日12時"/>
    <s v="個別"/>
    <x v="2"/>
    <s v="発災翌日12時_x000a__x000a_自班のTeamsチャットへ情報が寄せられました。_x000a__x000a_・NTTドコモビジネスオフィスビルでは、災対備蓄品を利用した食事を提供_x000a_・自家発電の稼働によって、各ビル設備はほぼ通常運用中_x000a_・首都圏以外の社員・パートナー社員の被災はほぼ無く、ほとんどが業務可能_x000a_・首都圏へ出張中の社員の一部が帰宅出来ていない_x000a__x000a_あなたならどのような行動をとりますか？_x000a_何を使用し、何を行うか具体的に記述して下さい。_x000a__x000a_※評価対象コンピテンシー：コミュニケーション力、想像・先読み力、計画力"/>
    <s v="首都圏へ出張中で帰宅が困難な社員については、所属組織に連絡し状況を共有。滞在中は災対本部やComオフィスビルの方針等に指示に従う。_x000a__x000a_解答例を要作成"/>
    <s v="●"/>
    <s v="≪コミュニケーション力≫　計画をするために必要なコミュニケーション_x000a_・班内で指示/連絡をとろうとしている　１点_x000a_・班内、班間で具体的に意思疎通（傾聴＋伝達）している　２点_x000a_・組織や立場を超えて、付加価値を付けた上で自身の考えを意思疎通（傾聴＋伝達）している　３点_x000a__x000a_■改定案_x000a_1点：各組織総務厚生班や帰宅困難社員の所属組織と連絡をとろうとしている_x000a_2点：各組織総務厚生班や帰宅困難社員の所属組織と双方向でコミュニケーションをとっている_x000a_3点：各組織総務厚生班や帰宅困難社員の所属組織と双方向でコミュニケーションをとることに加え、班長不在の中でも班内の体制を構築した上で、全社情報共有会議での報告や危機管理DBへの投入など、班外へも情報を共有し、コミュニケーションの活性化を行う"/>
    <m/>
    <m/>
    <m/>
    <m/>
    <s v="●"/>
    <s v="≪想像、先読み力≫　食事提供状況、出張中社員の状況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_x000a__x000a_■改定案_x000a_1点：次に起こる事を想定しようとしている_x000a_2点：次に起こる事を想定しつつ、必要な行動を具体的に検討している_x000a_3点：食事提供や帰宅困難社員に対して、災害対応の全体プロセスを見据えて、次に起こる事を想定しつつ、必要な行動を具体的に検討している"/>
    <s v="●"/>
  </r>
  <r>
    <x v="4"/>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5"/>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5"/>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5"/>
    <x v="2"/>
    <n v="3"/>
    <s v="04発災当日21時"/>
    <s v="個別"/>
    <x v="2"/>
    <s v="発災当日21時_x000a__x000a_ドコモ代理サービスに影響が出ているらしいとサービス主管部門（5GIoTの担当者）からTeamsチャットで報告を受けました。_x000a__x000a_あなたならどのような行動をとりますか？_x000a_何を使用し、何を行うか具体的に記述して下さい。_x000a__x000a_※評価対象コンピテンシー：コミュニケーション力、情報収集力"/>
    <s v="代理サービスの影響については危機管理室(2G:旧法人統制)より入手し、サービス班より報告(危機管理DBへも記載）_x000a_平時は各サービス主管からの対応であるが、非常態勢時は問合せ輻輳を避けるため、危機管理室2G（旧法人統制）が窓口として対応_x000a__x000a_■改定案_x000a_・災対本部や危機管理2G（ドコモサービス統制）など、班間でのサポートを要請（注意喚起）する等の行動を起こす（班間調整準備）_x000a__x000a_影響が出ているサービスが何で、影響規模（回線数等）がどの程度なのかを優先的に確認するため、5GI内の危機管理室チャネルで情報の募集を行うと共に、対象サービスの担当TLへ重大事故報告対象サービスから優先的に直接、電話、Teamsチャット等で連絡を実施。_x000a_影響規模が総務省報告レベルの場合は、ドコモ側の災対室連携をするために、危機管理室2Gの当番TL、もしくはGLに連絡を行い、災対室との連携体制を構築する。（確認した内容、対象サービス、影響内容、影響規模をまず伝える）"/>
    <s v="●"/>
    <s v="≪コミュニケーション力≫_x000a_班内班員との連携を密に行う。（連絡が取れるツールで）_x000a_班内班員の状況を整理_x000a__x000a_■改定案（評価基準良いですか？）_x000a_1点：サービス主幹と連絡をとろうとしている_x000a_2点：サービス主幹や班間サポートを要請するために必要なコミュニケーションをとっている_x000a_3点：班長不在の中でも班内の体制を構築した上で、災害対策本部や危機管理室2G（ドコモサービス統制）など、班間でのサポートを要請するために必要なコミュニケーションをとっている"/>
    <s v="●"/>
    <s v="≪情報収集力≫発災2時間後、サービスの輪で情報をいかに集めるか？_x000a_・なんとか自分自身で更なる情報収集を行う行動（自身の行動）　１点_x000a_・身近で活動可能な班内メンバを統制して更なる情報収取行動に移す（班内の統制）２点_x000a_　活動可能なメンバを把握して、役割分担を提案している（班内の統制）２点_x000a_・危機管理2G（ドコモサービス統制）など、班間でのサポートを要請する等の行動を起こす　_x000a_　（班内の組織を超えた調整）３点_x000a__x000a_■改定案（評価基準良いですか？）_x000a_1点：自ら情報収集しようとしている_x000a_2点：指示をしてサービス影響に関する情報収集をしている_x000a_3点：状況を確認するために他班からの情報や災害対策本部や危機管理室2G（ドコモサービス統制）など班間でのサポートを要請するために必要な情報を先手先手で指示をして情報収集している"/>
    <m/>
    <m/>
    <m/>
    <m/>
    <m/>
  </r>
  <r>
    <x v="5"/>
    <x v="2"/>
    <n v="4"/>
    <s v="04発災当日21時"/>
    <s v="個別"/>
    <x v="2"/>
    <s v="発災当日21時_x000a__x000a_携帯電話サービスに影響が出ているという情報を危機管理DB「ドコモ災対」タブで確認しました。非常態勢時において携帯サービスの影響確認をどのように行いますか？_x000a__x000a_＜危機管理DBの記載内容＞_x000a_◆輻輳規制地域情報_x000a_　・アクセス％規制：CS10%_x000a_　・SSAC規制：50% _x000a_　・着CA規制（3G/LTE）：90%_x000a_　・固定向け電番規制（東京、千葉、神奈川、埼玉向け）：75%_x000a__x000a_◆基地局被害状況_x000a_　・サービス中断835（東京231、千葉121、神奈川267、埼玉216）_x000a_　・停電1,750（東京602、千葉289、神奈川464、埼玉395）_x000a__x000a_※評価対象コンピテンシー：情報分析力、想像・先読み力"/>
    <s v="携帯サービスの影響については危機管理室(2G:旧法人統制)より入手し、サービス班より報告(危機管理DBへも記載）_x000a_携帯サービスの影響については平時も危機管理室2G（旧法人統制）が窓口として対応？_x000a__x000a_■改定案（想像）_x000a_現在の状況、また今後停電範囲が広くなり影響が広くなることを考え、メンバとの通話とかで携帯をなるべく使わないようにし、安定して利用できる固定網、Wifiの利用などに努め、メンバにも周知を行う。_x000a__x000a_それらをしながら、災対チャネルのなかでは常に最新の情報をキャッチできるようにしておく。"/>
    <m/>
    <m/>
    <m/>
    <m/>
    <s v="●"/>
    <s v="≪情報分析力≫発災3時間後、全社情報共有（ドコモ）から得られた情報をいかに分析するか？_x000a_・なんとか自分自身で情報分析（サービスへの影響度）を行う行動（自身の行動）　１点_x000a_・班内メンバを通して自自の確認を行う（班内の統制）　　２点_x000a_　活動可能なメンバを把握して、役割分担を提案している（班内の統制）　２点_x000a_・災対本部など、班間でのサポートを要請（注意喚起）する等の行動を起こす（班間）　３点_x000a__x000a_■改定案_x000a_1点：危機管理DBの情報を分析して、サービス影響を把握しようとしている_x000a_2点：危機管理DBの情報を分析して、サービス影響を及ぼす可能性がある因子の特定している_x000a_3点：危機管理DBの情報を分析して、重大なサービス影響を及ぼす可能性がある因子を特定した上で、災害対策本部など、班間でのサポートを要請（注意喚起）する等の行動に活かしている"/>
    <s v="●"/>
    <s v="≪想像、先読み力≫発災3時間後、得られた情報から、次に何が起きるか想像できるか？_x000a_・次に起こる事を想定しようとしている（単純に想像）　１点_x000a_・次に起こる事を想定して、サービス班として今できることを検討している（班内の行動）　２点_x000a_・災害対応の全体像を見据えた上で次に起こる事を想定して、具体的に対応や予防策を検討している（全社視点）　３点_x000a__x000a_■改定案_x000a_1点：次に起こる事を想定しようとしている_x000a_2点：次に起こる事を想定しつつ、必要な行動を具体的に検討している_x000a_3点：サービス影響の悪化や改善を想定しながら、災害対応の全体プロセスを見据えて、次に起こる事を想定しつつ、必要な行動を具体的に検討している"/>
    <m/>
  </r>
  <r>
    <x v="5"/>
    <x v="2"/>
    <n v="5"/>
    <s v="05発災当日22時"/>
    <s v="個別"/>
    <x v="2"/>
    <s v="発災当日22時_x000a__x000a_全社情報共有の会議にて設備班より中央第二光（新立川別～新宿別）ケーブル断情報が共有されました。_x000a__x000a_あなたならどのような行動をとりますか？_x000a_何を使用し、何を行うか具体的に記述して下さい。_x000a__x000a_※評価対象コンピテンシー：コミュニケーション力、情報分析力、想像・先読み力"/>
    <s v="・サービス影響の確認_x000a_・設備班より影響パスリストの入手_x000a_・設備班に全社の輪にて復旧計画を確認_x000a_・復旧に見込みが立たないようであれば、設備班に暫定迂回による冗長構成復旧を依頼するため、影響パスリストと復旧優先リストを確認し、救済優先順位をサービス班にて策定_x000a_・設備班へパス設計および切り替え計画の策定依頼実施_x000a__x000a_■改定案_x000a_・切断の状況を確認、深刻度を確認する。_x000a_・ケーブル仮復旧までの見込みを確認する。_x000a_・自サービスの影響を確認し、重要サービスの経路迂回等ができないか検討する。_x000a_　サービスバックヤード等にも情報共有し、迂回等の可能性があれば、サービス班に報告、共有する。_x000a_・迂回できなければ、各サービス毎の重要度に応じた復旧優先度の検討を指示、または参加する。_x000a_・結果を設備班へ共有し、双方で検討計画を立案する。_x000a_・そのうえで、サービス影響を確認しお客さまへの説明方法を班長含め意識合わせする。"/>
    <s v="●"/>
    <s v="≪コミュニケーション力≫_x000a_班内班員との連携を密に行う。（連絡が取れるツールで）_x000a_班内班員の状況を整理_x000a__x000a_■改定案_x000a_1点：設備班と連絡をとろうとしている_x000a_2点：設備班やサービス影響に関連する班内メンバと双方向でコミュニケーションをとっている_x000a_3点：班長不在の中でも班内の体制を構築した上で、サービス影響の把握や今後の対応に向けて必要な班内外との双方向コミュニケーションをとっている"/>
    <m/>
    <m/>
    <s v="●"/>
    <s v="≪情報分析力≫発災3時間後、設備班から得られた情報をいかに分析するか？_x000a_・なんとか自分自身で情報分析（サービスへの影響度）を行う行動（自身の行動）　１点_x000a_・班内メンバを通して自自の確認を行う（班内の統制）　　２点_x000a_　活動可能なメンバを把握して、役割分担を提案している（班内の統制）　２点_x000a_・災対本部など、班間でのサポートを要請（注意喚起）する等の行動を起こす（班間）　３点_x000a__x000a_■改定案_x000a_1点：サービスへの影響を確認している_x000a_2点：サービスへの重大な影響を及ぼす可能性がある因子を特定している_x000a_3点：自班やサービスへの重大な影響を及ぼす可能性がある因子を特定した上で、災対本部など、班間でのサポートを要請（注意喚起）する等の行動を起こしている"/>
    <s v="●"/>
    <s v="≪想像、先読み力≫発災3時間後、得られた情報から、次に何が起きるか想像できるか？_x000a_・事態が悪化することを想定できる（単純に想像）　１点_x000a_・事態が悪化することを想定し、今できること（影響サービス、影響リスト）の作成指示（班内の行動）　２点_x000a_・事態が悪化することを想定し、（サービス中断発生）対外的な広報及びお客様対応スクリプトが提案できる、または、事態悪化を未然に防げる対応を提案できる（班間）　　３点_x000a__x000a_■改定案_x000a_1点：次に起こる事を想定しようとしている_x000a_2点：次に起こる事を想定しつつ、必要な行動を具体的に検討している_x000a_3点：サービス影響の悪化や改善を想定しながら、災害対応の全体プロセスを見据えて、次に起こる事を想定しつつ、事前対策等、必要な行動を具体的に検討している"/>
    <m/>
  </r>
  <r>
    <x v="5"/>
    <x v="2"/>
    <n v="6"/>
    <s v="08発災翌日12時"/>
    <s v="個別"/>
    <x v="2"/>
    <s v="発災翌日12時_x000a__x000a_全社情報共有の会議で設備班から以下の情報が流れて来ました。_x000a__x000a_・唐ヶ崎、白鬚、千葉港、一ツ橋ビル停電発生_x000a_　※一ツ橋は30分で復電_x000a_・電力・空調設備は異常なし（エンジン運転中）_x000a__x000a_あなたならどのような行動をとりますか？_x000a_何を使用し、何を行うか具体的に記述して下さい。_x000a__x000a_※評価対象コンピテンシー：情報分析力、想像・先読み力"/>
    <s v="該当ビルへの給油が間に合わず、完全停電になることを想定し、そうなった場合の影響サービスの洗出し_x000a_ビルとしての優先度は唐ヶ崎のほうが上_x000a__x000a_■改定案_x000a_ファイバと同様に自サービスの影響を第一に考える。_x000a_唐ヶ崎、白ひげ、千葉港であれば水サービスとして直接は利用していないので冷静に考える。_x000a_一方でWAN側のPEがおいてあったり、WAN経路の拠点になっている。その際も冷静にエンジンがどれぐらい持つのかなどを全社情報共有の中で取得する。_x000a__x000a_その中で、最悪エンジンが切れてしまった場合の最悪自体を想定し、回避ができれば回避方法（正直ないことが多い)、影響度、ユーザ周知のしかたなどをサービスとして事前に検討をしておく。_x000a_それらをしながら、災対チャネルのなかでは常に最新の情報をキャッチできるようにしておく。"/>
    <m/>
    <m/>
    <m/>
    <m/>
    <s v="●"/>
    <s v="≪情報分析力≫発災18時間後、設備班から得られた情報をいかに分析するか？_x000a_・なんとか自分自身で情報分析（サービスへの影響度）を行う行動（自身の行動）　１点_x000a_・班内メンバを通して自自の確認を行う（班内の統制）　　２点_x000a_　活動可能なメンバを把握して、役割分担を提案している（班内の統制）　２点_x000a_・災対本部など、班間でのサポートを要請（注意喚起）する等の行動を起こす（班間）　３点_x000a__x000a_■改定案_x000a_1点：サービスへの影響を確認している_x000a_2点：サービスへの重大な影響を及ぼす可能性がある因子（燃料切れ）を特定している_x000a_3点：自班やサービスへの重大な影響を及ぼす可能性がある因子（燃料切れ）を特定した上で、最悪の事態に対応するための行動を起こしている"/>
    <s v="●"/>
    <s v="≪想像、先読み力≫発災18時間後、得られた情報から、次に何が起きるか想像できるか？_x000a_・事態が悪化することを想定できる（単純に想像）　１点_x000a_・事態が悪化することを想定し、今できること（影響サービス、影響リスト）の作成指示（班内の行動）　２点_x000a_・事態が悪化することを想定し、（サービス中断発生）対外的な広報及びお客様対応スクリプトが提案できる、または、事態悪化を未然に防げる対応を提案できる（班間）　　３点_x000a__x000a_■改定案_x000a_1点：次に起こる事を想定しようとしている_x000a_2点：次に起こる事（燃料切れ）を想定しつつ、必要な行動を具体的に検討している_x000a_3点：事態の悪化（燃料切れ）を想定しながら、災害対応の全体プロセスを見据えて、対応策や事前対策等、必要な行動を具体的に検討している"/>
    <m/>
  </r>
  <r>
    <x v="5"/>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6"/>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6"/>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6"/>
    <x v="2"/>
    <n v="3"/>
    <s v="04発災当日21時"/>
    <s v="個別"/>
    <x v="2"/>
    <s v="発災当日21時_x000a__x000a_「自身の所属組織は非被災地であるにも関わらず、被災直後に被災エリアに拠点を持つお客様からの問い合わせが複数発生した」との連絡が全社情報共有の会議参加の営業担当者から入ってきました。お客様対応班の事務局メンバーは不在です。_x000a__x000a_あなたならどのような行動を行いますか？_x000a_何を使用し、何を行うか具体的に記述して下さい。_x000a__x000a_※評価対象コンピテンシー：コミュニケーション力、情報収集力"/>
    <s v="呼出員として、自律的に所属組織における問合せ状況の取り纏めを実施する必要がある。_x000a__x000a_・お客様対応班内で利用している取りまとめ用フォーマットを利用して、お客様からの問合せ状況のとりまとめを実施する。"/>
    <s v="●"/>
    <m/>
    <s v="●"/>
    <s v="≪情報収集力≫_x000a_・自身の判断でなんとか対応しようとする　１点_x000a_・まず記録に残す　1点_x000a_・班内への情報展開と情報収集によって、よりよい対応に努める　２点_x000a_・非被災地のどんなエリアからの情報か収集する　2点_x000a_・班をまたがる情報収集、展開を行い、より効率的な活動を行う　３点_x000a_・非被災地のお客さまの要望を把握し、広報的な情報発信を提案する　3"/>
    <m/>
    <m/>
    <m/>
    <m/>
    <m/>
  </r>
  <r>
    <x v="6"/>
    <x v="2"/>
    <n v="4"/>
    <s v="04発災当日21時"/>
    <s v="個別"/>
    <x v="2"/>
    <s v="発災当日21時_x000a__x000a_「非被災地のお客さまから、東京エリアへの通信NGとの申告が急激に増えてきた。」との情報が全社情報共有の会議参加の営業担当者から入ってきました。設備障害の発生が疑わしい状況で、お客様対応班の事務局メンバーは不在です。_x000a__x000a_あなたならどのような行動を行いますか？_x000a_何を使用し、何を行うか具体的に記述して下さい。_x000a__x000a_※評価対象コンピテンシー：コミュニケーション力、情報収集力"/>
    <s v="被災状況を確認する手段の1つとして、危機管理DBへの投稿状況を確認する。_x000a__x000a_・危機管理DBを確認し、サービスの状況と設備の状況を確認する。_x000a_・設備班より、○○区間での中継ケーブル断の情報が記載されている事を確認する。"/>
    <s v="●"/>
    <m/>
    <s v="●"/>
    <s v="≪情報収集力≫_x000a_・自身の判断でなんとか対応しようとする　１点_x000a_・まず記録に残す　1点_x000a_・班内への情報展開と情報収集によって、よりよい対応に努める　２点_x000a_・非被災地のどんなエリアからの情報か収集する　2点_x000a_・班をまたがる情報収集、展開を行い、より効率的な活動を行う　３点_x000a_・非被災地のお客さまの要望を把握し、広報的な情報発信を提案する　3点_x000a_"/>
    <m/>
    <m/>
    <m/>
    <m/>
    <m/>
  </r>
  <r>
    <x v="6"/>
    <x v="2"/>
    <n v="5"/>
    <s v="08発災翌日12時"/>
    <s v="個別"/>
    <x v="2"/>
    <s v="発災翌日12時_x000a__x000a_某都市銀行の営業担当者より、個別チャットでニューヨークとの通信が不通になったとの申告が入ってきました。提供している「国際専用線」に影響が出ている可能性があります。_x000a__x000a_あなたならどのような行動を行いますか？_x000a_何を使用し、何を行うか具体的に記述して下さい。_x000a__x000a_※評価対象コンピテンシー：情報収集力"/>
    <s v="お客様からの問合せ内容を全社へ共有し、対応状況の確認を実施する。_x000a__x000a_・全社の輪の中で、〇〇銀行からの問合せ内容を共有し、サービス班に対応状況を確認する。_x000a_"/>
    <m/>
    <m/>
    <s v="●"/>
    <s v="≪情報収集力≫_x000a_・〇〇銀行さまの情報に関する対応だけの検討であれば　１点_x000a_・速やかに関係組織、他班への共有、連絡を行い影響サービス全体を考慮していれば　２点_x000a_・影響サービスだけに留まらず、故障が発生している要因や背景まで含めて情報収集する行動で　３点_x000a_"/>
    <m/>
    <m/>
    <m/>
    <m/>
    <m/>
  </r>
  <r>
    <x v="6"/>
    <x v="2"/>
    <n v="6"/>
    <s v="08発災翌日12時"/>
    <s v="個別"/>
    <x v="2"/>
    <s v="発災翌日12時_x000a__x000a_営業担当者が、被災地の自治体から、携帯電話、タブレット、充電器を避難所に設置したいとの情報が、自班のTeams会議で報告されました。自治体からの要請についてどのように回答すべきか意見を求められています。_x000a__x000a_あなたならどのような行動を行いますか？_x000a_何を使用し、何を行うか具体的に記述して下さい。_x000a__x000a_※評価対象コンピテンシー：コミュニケーション力、計画力"/>
    <s v="ドコモ社との連携を緊密に取ることで、事態に対応する必要がある。_x000a__x000a_・自治体等からの問合せ内容等の情報収集を行う。_x000a_・ドコモ側への設置要請元の自治体一覧等の情報提供。_x000a_・ドコモお客様対応班(法人)としての対応可否検討と、対応方針の計画を行う_x000a_・ドコモお客様対応班(法人)としての要請状況の確認と対応稼働の確保が可能か確認を行う"/>
    <s v="●"/>
    <s v="≪コミュニケーション力≫_x000a_・求められた意見に対して自身の経験や知識をもとにアドバイス　１点_x000a_・その他の同様の問合せや依頼が来ていることも想定し、貸出物品に関する情報展開と情報収集を実施　２点_x000a_・貸出物品にとどまらず、潜在的なニーズも意識して情報を聞き出す・収集する行動を実施　３点"/>
    <m/>
    <m/>
    <m/>
    <m/>
    <m/>
    <m/>
    <s v="●"/>
  </r>
  <r>
    <x v="6"/>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7"/>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7"/>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7"/>
    <x v="2"/>
    <n v="3"/>
    <s v="04発災当日21時"/>
    <s v="個別"/>
    <x v="2"/>
    <s v="発災当日21時_x000a__x000a_停電状況が確認できた時点で、誰にどのような指示を出しますか？_x000a_何を使用し、何を行うか具体的に記述して下さい。_x000a__x000a_※評価対象コンピテンシー：コミュニケーション力、計画力"/>
    <s v="対象ビルの電源供給可能時間を確認_x000a_移動電源車の配備を依頼_x000a_各ビルへの移動電源車への輸送ルートでの道路状況確認依頼_x000a_燃料会社に出動の依頼_x000a_その状況について部内エスカレ_x000a__x000a_■改定案_x000a_電力設備保守を委託しているNTT-AE社へ下記事項の対応を依頼_x000a_・停電発生ビルの非常用発電機の運転可能時間（給電可能時間）の再確認_x000a_・非常用発電機無しビルについては蓄電池の保持時間の再確認_x000a_・停電発生ビルに対し移動電源車の配備について検討を依頼_x000a_・各ビルへ移動電源車へを配備する場合の走行ルートの道路状況確認（駆け付け可否の確認）_x000a_・燃料供給会社へ出動依頼を実施_x000a_設備班内（自部署内）で下記事項を確認することも並行で実施_x000a_・自社で締結している優先給油燃料会社に自社からも出動の依頼_x000a_・上記対応状況並びに収集できた情報を部内並びに必要時は災対本部へ情報共有"/>
    <s v="●"/>
    <s v="≪コミュニケーション力≫発災から1時間経過した状況で、より広範囲にコミュニケーションを取ろうといているか？_x000a_・指示/連絡をとる行動を示していたら(またはしようとしている)　１点_x000a_・補足が必要のないレベルで、班内で具体的な意思疎通ができていたら(またはしようとしている)　２点_x000a_・補足が必要のないレベルで、班間や委託先含め社外と具体的な意思疎通ができていたら(またはしようとしている)　３点_x000a_　※本当に班間なの？→委託先含め社外を追加_x000a__x000a_■改定案_x000a_1点：NTT-AE社と連絡をとろうとしている_x000a_2点：対応策の検討に向けて、NTT-AE社や班内メンバと双方向でコミュニケーションをとっている_x000a_3点：班長不在の中でも班内の体制を構築した上で、具体的な対応策の検討に向けて、NTT-AE社や班内メンバと双方向でコミュニケーションをとっている"/>
    <m/>
    <m/>
    <m/>
    <m/>
    <m/>
    <m/>
    <s v="●"/>
  </r>
  <r>
    <x v="7"/>
    <x v="2"/>
    <n v="4"/>
    <s v="07発災翌日9時"/>
    <s v="個別"/>
    <x v="2"/>
    <s v="発災翌日9時_x000a__x000a_現地保守員（RA＝Route Agent）から「被災箇所の現地調査を行いたいが、現地までの移動手段がない。」との相談がありました。_x000a__x000a_あなたならどのような行動を行いますか？_x000a_何を使用し、何を行うか具体的に記述して下さい。_x000a__x000a_※評価対象コンピテンシー：情報収集力、計画力"/>
    <s v="・安全第一に被災カ所への現地駆け付けは見送り、被害状況の様子を確認_x000a_・直営等現地駆け付けの代替え手段が無いか検討_x000a__x000a_■改定案_x000a_現地へ向かうことが社員の安全を確保できないのであればまずは社員の安全を最優先として現地駆け付けはいったん保留とする_x000a_現地の被災状況を再度確認し、迂回ルートや別の手段で現地へ行くことが出来ないかを再度検討する_x000a_また遠隔で現地状況を把握する別の手段がないかを再度確認する"/>
    <m/>
    <m/>
    <s v="●"/>
    <s v="≪情報収集力≫発災翌日でまだ情報が少ない中、あらゆる情報を広範囲にどれだけ収集できるか？_x000a_・自身で事実の確認をしている(またはしようとしている)　１点_x000a_・班員を巻き込んで類似情報の有無の収集をしている(またはしようとしている)　２点_x000a_・委託先含め社外（危機管理室含む）への指示確認がとれ、情報収集をしている(またはしようとしている)　３点_x000a__x000a_■改定案_x000a_1点：自ら情報収集しようとしている_x000a_2点：指示をして移動手段確保の情報収集をしている_x000a_3点：班の代表として、移動手段や遠隔対応を含めた今後の対応に向け、班内外や委託先から情報収集している"/>
    <m/>
    <m/>
    <m/>
    <m/>
    <s v="●"/>
  </r>
  <r>
    <x v="7"/>
    <x v="2"/>
    <n v="5"/>
    <s v="08発災翌日12時"/>
    <s v="個別"/>
    <x v="2"/>
    <s v="発災翌日12時_x000a__x000a_班内から「通信ビルの燃料枯渇が想定されています。」との報告がありました。_x000a__x000a_誰にどのような指示を出しますか？_x000a__x000a_※評価対象コンピテンシー：情報収集力、想像・先読み力、計画力"/>
    <s v="AEに燃料輸送状況について意識合わせ_x000a_こちらからは燃料会社の状況を共有_x000a_移動電源車への切替など手順の確認を依頼_x000a__x000a_■改定案_x000a_NTT-AE社と燃料輸送状況について意識合わせを実施_x000a_優先給油契約締結済み燃料給油会社に対し、現地駆け付け可能状況を再確認しAE社へ情報共有_x000a_燃料オペレーションの運用確立し現地駆け付け手配を実施_x000a_各被災ビルの非常用発電機の運転可能時間やBATT保持時間を比較し、どのルートで給油を回るのが最適かAE社と検討する_x000a_燃料給油が間に合わないことも加味し、移動電源車への切替についても並行で検討する_x000a_その際の切り替え手順や安全確認なども含めて準備体制の確立を依頼"/>
    <m/>
    <m/>
    <s v="●"/>
    <s v="≪情報収集力≫発災翌日でまだ情報が少ない中、あらゆる情報を広範囲にどれだけ収集できるか？_x000a_・自身で事実の確認をしている(またはしようとしている)　１点_x000a_・班員を巻き込んで類似情報の有無の収集をしている(またはしようとしている)　２点_x000a_・委託先含め社外（危機管理室含む）への指示確認がとれ、情報収集をしている(またはしようとしている)　３点_x000a__x000a_■改定案_x000a_1点：自ら情報収集しようとしている_x000a_2点：指示をしてNTT-AE社と連携して燃料供給に必要な情報収集をしている_x000a_3点：班の代表として、燃料供給や移動電源車手配等、今後の対応に向け班内外やNTT-AE社をはじめとする委託先から情報収集している"/>
    <m/>
    <m/>
    <s v="●"/>
    <s v="≪想像、先読み力≫大規模な災害であることから長期化することを想像できるか？_x000a_・事態の長期化を想定することできる　１点_x000a_・事態が長期化することを想定し、今できること指示ができる　２点_x000a_・事態が悪化することを想定し、２～４手まで想定できる（サービス中断発生）または、事態悪化を未然に防げる対応を提案できる　３点_x000a__x000a_■改定案_x000a_1点：燃料枯渇が起きた事態を想定しようとしている_x000a_2点：燃料枯渇が長期化することを想定しつつ、今できる行動を具体的に検討している_x000a_3点：燃料枯渇が長期化することを想定しつつ、災害対応の全体プロセスを見据えて、対応策や事前対策等、必要な行動を具体的に検討している"/>
    <s v="●"/>
  </r>
  <r>
    <x v="7"/>
    <x v="2"/>
    <n v="6"/>
    <s v="09発災翌日15時"/>
    <s v="個別"/>
    <x v="2"/>
    <s v="発災翌日15時_x000a__x000a_サービス班から大量のパス迂回依頼検討がありましたが、とても対応できないボリュームの内容です。_x000a__x000a_誰にどのような指示を出しますか？_x000a__x000a_※評価対象コンピテンシー：コミュニケーション力、情報分析力、計画力"/>
    <s v="サービス班から提示されたパス迂回一覧の精査をする事が大事。_x000a_・3ルート化されており、1ルート断で2ルート残の物はないか_x000a_・トラフィックボリュームからパス本数の削減ができないか_x000a_・重要回線収容とそうでないものが混ざっていないか 等_x000a__x000a_■改定案_x000a_対応するためにサービス班から提示されたパス迂回一覧の精査をする事が大事であり、依頼元のサービス班に以下の再確認/再検討を依頼する。_x000a_・3ルート化されており、1ルート断で2ルート残の物はないか_x000a_・トラフィックボリュームからパス本数の削減ができないか_x000a_・重要回線収容とそうでないものが混ざっていないか 等_x000a_・在庫量での救済可能なパス容量を算出し、即応可能容量と、工事からの救済容量の算出を行い、再度優先順位付与の依頼を行う"/>
    <s v="●"/>
    <s v="≪コミュニケーション力≫サービス班からの要求のため、サービス班に対してはより解りやすくコミュニケーションが取れているか？_x000a_・指示/連絡をとる行動を示していたら(またはしようとしている)　１点_x000a_・補足が必要のないレベルで、班内で具体的な意思疎通ができていたら(またはしようとしている)　２点_x000a_・補足が必要のないレベルで、班間(委託先含めた社外）で具体的な意思疎通ができていたら(またはしようとしている)　３点_x000a__x000a_■改定案_x000a_1点：サービス班と連絡をとろうとしている_x000a_2点：課題解決に向けてサービス班と双方向でコミュニケーションをとっている_x000a_3点：計画を実行するために、サービス班や委託先などと双方向でコミュニケーションをとっている"/>
    <m/>
    <m/>
    <s v="●"/>
    <s v="≪情報分析力≫　困難な依頼ではあるが何とか対応するために情報分析を実施できるか？_x000a_・なんとか自分自身で情報分析を行う行動　１点_x000a_・班内メンバを通して事実の確認を行う　２点_x000a_　活動可能なメンバを把握して、役割分担を提案している_x000a_・災対本部など、班間でのサポートを要請（注意喚起）する等の行動を起こす　３点_x000a__x000a_■改定案_x000a_1点：大量のパス迂回依頼の内容を確認している_x000a_2点：大量のパス迂回依頼の内容を分析し、サービスへの重大な影響を及ぼす可能性がある因子を特定し、対応の優先順位をつけている_x000a_3点：大量のパス迂回依頼の内容を分析し、サービスへの重大な影響を及ぼす可能性がある因子を特定した、対応の優先順位をつけた上で、災対本部など班間でのサポートを要請（注意喚起）する等の行動を起こしている"/>
    <m/>
    <m/>
    <s v="●"/>
  </r>
  <r>
    <x v="7"/>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8"/>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8"/>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8"/>
    <x v="2"/>
    <n v="3"/>
    <s v="04発災当日21時"/>
    <s v="個別"/>
    <x v="2"/>
    <s v="発災当日21時_x000a__x000a_ロジスコの被災状況確認のため、ロジスコ責任者と電話やメール連絡をとっているが、通信NGで連絡がとれません。_x000a__x000a_あなたならどのような行動をとりますか？_x000a_何を使用し、何を行うか具体的に記述して下さい。_x000a__x000a_※評価対象コンピテンシー：コミュニケーション力、計画力"/>
    <s v="ロジスコ連絡体制図を見て、優先順位に従い、関係者に連絡を行う_x000a__x000a_■改定案_x000a_ロジスコ責任者と連絡が取れないことが判明次第、責任者以外への連絡先を確認し連絡を試みる。ロジスコの会社周辺の被害状況を可能な範囲で確認し、連絡不可状況と併せて危機管理DB掲載の準備を進める。また、ドコモ等関連会社との連絡も試みる。"/>
    <s v="●"/>
    <s v="≪コミュニケーション力≫発災1時間後、どのようにコミュニケーションを取ろうと努力するか？_x000a_・指示/連絡をとる行動を示していたら(またはしようとしている)　１点_x000a_・補足が必要のないレベルで、班内（上長や契約担当を巻き込みながら）で具体的な意思疎通ができていたら(またはしようとしている)　２点_x000a_・補足が必要のないレベルで、他社の状況を確認したうえで、連携をとる等叫ぶ行為で具体的な意思疎通ができていたら(またはしようとしている)　３点_x000a_・班内メンバに連絡を継続チャレンジ または 自身でロジスコの連絡先優先順位順に連絡する。　1点_x000a_・班内メンバに連絡を継続チャレンジ と 自身でロジスコの連絡先優先順位順に連絡する。2点_x000a_・本部に報告・共有し、他班からの情報を入手するとともに支援を仰ぐ。　3点_x000a__x000a_■改定案_x000a_1点：ロジスコ責任者と連絡をとろうとしている_x000a_2点：ロジスコ責任者に加えて、責任者以外の連絡がつく担当者とのコミュニケーションを試みている_x000a_3点：ロジスコに加えて、ドコモ等関連会社とのコミュニケーションを試みている"/>
    <m/>
    <m/>
    <m/>
    <m/>
    <m/>
    <m/>
    <s v="●"/>
  </r>
  <r>
    <x v="8"/>
    <x v="2"/>
    <n v="4"/>
    <s v="07発災翌日9時"/>
    <s v="個別"/>
    <x v="2"/>
    <s v="発災翌日9時_x000a__x000a_NTTドコモビジネスと取引のある主要メーカ・サプライヤの被災状況を把握したいです。_x000a__x000a_あなたならどのような行動をとりますか？_x000a_何を使用し、何を行うか具体的に記述して下さい。_x000a__x000a_※評価対象コンピテンシー：コミュニケーション力、情報収集力"/>
    <s v="Aribaソーシング機能で全サプライヤに調査依頼を行う。また事前に調査しデータベース化している主要メーカの工場が地震発生エリアかを確認する。_x000a__x000a_■改定案_x000a_事前準備済みのリストよりAribaソーシングにて安否/被災状況確認を実施。主要工場等の施設を把握している場合は適宜震源地から近い施設の状況も追加確認。影響ありの場合は社内の影響サービス確認を想定し適宜詳細確認も準備。"/>
    <s v="●"/>
    <s v="≪コミュニケーション力≫発災15時間後、どのような指示/展開が行えるか？_x000a_まだ班長と連絡がとれない前提で評価する（班長と連絡をとろうとする姿勢は評価）_x000a_・自分自身が班長と連絡不可であることを情報発信している記載　１点_x000a_・自分自身がメーカ・サプライヤと連絡を取ろうとしている　1点_x000a_・自班の中で役割分担をして、なんとか連絡しようとチャレンジしている、2点_x000a_・班間をまたがる連携、コミュニケーションを意識している　３点_x000a__x000a_■改定案_x000a_1点：主要メーカ・サプライヤと連絡をとろうとしている_x000a_2点：班内で役割分担をして、主要メーカ・サプライヤとのコミュニケーションを試みている_x000a_3点：現地の被災状況を考慮して、過度な催促を避けるなど相手への配慮を意識しつつ、班内で役割分担をして、主要メーカ・サプライヤとのコミュニケーションを試みている"/>
    <s v="●"/>
    <s v="≪情報収集力≫発災15時間後、どのように情報を収集するか？_x000a_・通常のツールで確認すれば　1点_x000a_・通常のツールやあらゆる手法を用いて、班内で連携し確認する　2点_x000a_・持株、グループ会社に確認、情報提供を依頼する　3点_x000a__x000a_■改定案_x000a_1点：自ら情報収集しようとしている_x000a_2点：指示をして主要メーカ・サプライヤの被災状況を情報収集している_x000a_3点：連絡がつかない場合は持ち株会社やNTTグループ会社などからの情報提供を依頼している"/>
    <m/>
    <m/>
    <m/>
    <m/>
    <m/>
  </r>
  <r>
    <x v="8"/>
    <x v="2"/>
    <n v="5"/>
    <s v="08発災翌日12時"/>
    <s v="個別"/>
    <x v="2"/>
    <s v="発災翌日12時_x000a__x000a_以下ような緊急連絡が混在しています。_x000a__x000a_・A部「被災地の応急復旧部材をすぐに手配したい」_x000a_・B部「非被災地のSO部材の確保は問題ないか」_x000a_・サプライヤC「倉庫が被災し、すぐに発送できる状況ではない」_x000a_・サプライヤD「メーカから納期が不透明との情報が入った」_x000a__x000a_必要な部材を現場へ適切に供給するために、追加で誰とどのようなやり取りが必要かをまとめて下さい。_x000a__x000a_※評価対象コンピテンシー：情報分析力、計画力"/>
    <s v="優先的に分析すべき情報（3点）_x000a_1. 社内・拠点在庫の即時可用性_x000a_倉庫・支社・他エリア在庫の所在と数量「今すぐ動かせるか」が最重要_x000a_2. サプライヤの被災状況と出荷可否_x000a_生産停止・倉庫被災・人員不足の有無、納期情報の信頼度_x000a_3. 代替調達ルートの有無_x000a_グループ内融通、他社・緊急契約の可能性、規程上の即応調達が可能か_x000a_👉 翌日は**「発注できるか」ではなく「届くか」**を基準に判断する。_x000a__x000a_①いつまでに、どの部材が、どれくらい必要か？（要求分析）A,B_x000a_②通常の調達先からの調達可能な数量の把握（現状分析）C,D,社内・拠点（上記2）_x000a_③復旧見込みと代替検討（供給量の算定）C,D,社内・拠点（上記1,3）_x000a_⇒これらをまとめると、適切な供給計画になる？_x000a_"/>
    <m/>
    <m/>
    <m/>
    <m/>
    <s v="●"/>
    <s v="≪情報分析力≫_x000a_・3点かけてない　1点_x000a_・3点かけているが、物足らない　2点_x000a_・模範解答もしくは、災害等対策規程の文言の記載　3点_x000a__x000a_■改定案_x000a_1点：下記の観点が2つ以下しか含まれていない（難易度が高いので1つでは？）_x000a_2点：下記の観点が3つ含まれているが、内容が不十分（難易度が高いので2つでは？）_x000a_3点：下記の観点が3つ含まれており、解答例に近い、もしくは災害等対策規程を理解して記載されている_x000a_（災対規程の読込せが必要）_x000a__x000a_＜情報分析観点＞_x000a_1. 社内・拠点在庫の即時可用性_x000a_　倉庫・支社・他エリア在庫の所在と数量「今すぐ動かせるか」が最重要_x000a_2. サプライヤの被災状況と出荷可否_x000a_　生産停止・倉庫被災・人員不足の有無、納期情報の信頼度_x000a_3. 代替調達ルートの有無_x000a_　グループ内融通、他社・緊急契約の可能性、規程上の即応調達が可能か？_x000a_（翌日は「届くか」2日後以降は「発注できるか」を基準に判断）"/>
    <m/>
    <m/>
    <s v="●"/>
  </r>
  <r>
    <x v="8"/>
    <x v="2"/>
    <n v="6"/>
    <s v="09発災翌日15時"/>
    <s v="個別"/>
    <x v="2"/>
    <s v="発災翌日15時_x000a__x000a_総務厚生班から水食糧の物資調達について輸送手段がない旨がTeamsチャットで相談がありました。_x000a__x000a_今後の体制に向け、あなたならどうしますか？_x000a_何を使用し、何を行うか具体的に記述して下さい。_x000a__x000a_※評価対象コンピテンシー：情報収集力、想像・先読み力、計画力"/>
    <s v="危機管理にヘリコプターや船など別の輸送手段の相談を行う_x000a__x000a_■解答例_x000a_・輸送手段の代替策をヒヤリングし、外部リソース（取引先）活用含め検討可能か対応難易度（レベル感）を確認する。_x000a_・インターネット等の情報網から交通の復旧目途を確認する_x000a_・総務厚生班へ他グループ連携の検討状況確認する_x000a_・避難所の備蓄状況や困窮状況を確認する_x000a_・総務厚生班に状況を整理後、班間連絡にて共有_x000a_・代替輸送手段の検討_x000a_・その間、現地調達を推奨し、各ビルの予備配備食料で時間を稼ぐ_x000a_・他グループとの横連絡による対応_x000a_・自治体避難所を活用_x000a_・被災現場近くのメーカー/サプライヤからの情報収集、協力要請"/>
    <m/>
    <m/>
    <s v="●"/>
    <s v="≪情報収集力≫得られた情報を更に深堀できるか？_x000a_・自ら情報収集しようとしている　１点_x000a_・指示をして、問題解決に必要な情報を収集している　２点_x000a_・先手先手で指示をして、問題解決に必要な情報を災対本部などで班内外から情報収集している　３点_x000a__x000a_■改定案_x000a_1点：自ら情報収集しようとしている_x000a_2点：指示をして班内外から水食糧の物資調達に必要な情報収集を行っている_x000a_3点：水食糧の物資調達に向けて、社内にとどまらずNTTグループ連携も含めて対応可能か情報収集を行っている"/>
    <m/>
    <m/>
    <s v="●"/>
    <s v="≪想像、先読み力≫得られた情報から、何ができるかを考えられるか？_x000a_・これら情報による影響に対して自身で行動できる。　1点_x000a_・これら情報による影響に対して班内（班員）への指示の行動ができる。2点_x000a_・これら情報による影響に対して自班・他班（班員）への影響を踏まえて本部等に資材班の想定される状況を共有する。3点_x000a__x000a_■改定案_x000a_1点：次に起こる事を想定しようとしている_x000a_2点：次に起こる事を想定しつつ、必要な行動（代替手段の想定）を具体的に指示、検討している_x000a_3点：食糧不足の状況や代替手段の想定しながら、現状や今後の影響を社内に報告しようとしている"/>
    <s v="●"/>
  </r>
  <r>
    <x v="8"/>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9"/>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9"/>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9"/>
    <x v="2"/>
    <n v="3"/>
    <s v="04発災当日21時"/>
    <s v="個別"/>
    <x v="2"/>
    <s v="発災当日21時_x000a__x000a_数名の社員より、地震の混乱に乗じた不審メールを受信した旨の発言が全社情報共有の会議で共有されました。_x000a__x000a_あなたならどのような行動をとりますか？_x000a_何を使用し、何を行うか具体的に記述して下さい。_x000a__x000a_※評価対象コンピテンシー：情報収集力、計画力"/>
    <s v="【ファイル開封無/リンクへのアクセス無】_x000a_ ・申告者/組織に依頼し、該当メールの検体を入手_x000a_ ・該当メールの送信者、件名、本文、添付ファイル有無の確認(有の場合はハッシュ取得とファイルを確保)を取得_x000a_ ・取得した送信者、件名、本文、添付ファイル有無を整理し、KMポータルに注意喚起実施_x000a_ ・取得した送信者、件名でM365でメール受信拒否を設定およびメール隔離を実施_x000a_ ・取得した添付ファイルの解析を行い、悪性有無を判定_x000a__x000a_【参考】ファイルが悪性の場合_x000a_ ・取得した送信者、件名、本文をもとにメールLogを調査し、受信者を把握、把握した受信者に開封有無とメール破棄を依頼_x000a_ ・MDE等で添付ファイルのハッシュを検索し、開封状況を調査　"/>
    <m/>
    <m/>
    <s v="●"/>
    <s v="≪情報収集力≫_x000a_・自身で事実の確認　１点_x000a_・班員を巻き込んで類似情報の有無の収集　２点_x000a_・全社周知したうえでの、情報収集　３点_x000a__x000a_■改定案_x000a_1点：自ら情報収集しようとしている_x000a_2点：指示をして班内で類似情報の収集を行っている_x000a_3点：全社周知を行い、類似情報の収集を行っている"/>
    <m/>
    <m/>
    <m/>
    <m/>
    <s v="●"/>
  </r>
  <r>
    <x v="9"/>
    <x v="2"/>
    <n v="4"/>
    <s v="05発災当日22時"/>
    <s v="個別"/>
    <x v="2"/>
    <s v="発災当日22時_x000a__x000a_M&amp;S部より、地震によりISMPがシステム停止したとの連絡がありました。復旧するまでに一週間以上かかる見込みとのことです。_x000a__x000a_あなたならどのような行動をとりますか？_x000a_何を使用し、何を行うか具体的に記述して下さい。_x000a__x000a_※評価対象コンピテンシー：想像・先読み力、計画力"/>
    <s v="・サービス提供組織に連絡し、被災状況、復旧目途を確認_x000a_・代替手段の検討実施_x000a_　－DB情報（登録システム/利用機器/主管/連絡先）のデータの有無確認_x000a_　－脅威情報の入手手段の確認_x000a_　－確認結果に基づくワークアラウンド策の検討（運用フロー及び体制検討を含む）_x000a_・ワークアラウンド策の部内承認と社内周知_x000a_------------------------------------_x000a_　稼働可能な要員により以下実施体制を構成、運用開始_x000a_　-脅威情報ソースの定期巡回確認_x000a_　-リスクレベル5以上の脆弱性発見時、以下を実施_x000a_　　-当該脆弱性の対処策情報収集、及び内容検討、部内承認_x000a_　　-各組織SO実施責任者/担当者ラインへの通知実施（※該当システムの抽出は困難なため一斉通知）_x000a_　　-KMポータル、SecNowへの掲載、注意喚起実施_x000a__x000a_■改定案_x000a_・サービス提供組織に連絡し、被災状況、復旧目途の確認を実施_x000a_・代替手段について検討を実施_x000a_　－連絡先情報の有無と無の場合の対応方法（全主管への連絡）_x000a_　－脅威情報の入手手段の確認（サービス主管からの入手又は部内からの収集）_x000a_　－確認結果に基づくワークアラウンド策の決定_x000a_・ワークアラウンド策の部内承認と社内周知_x000a_　－代替運用手段での運用体制確立（リソース確保、部内承認）_x000a_　－KMポータルへの暫定対応に関する周知掲載_x000a_　－SM/SOラインへの暫定対応に関する連絡実施"/>
    <m/>
    <m/>
    <m/>
    <m/>
    <m/>
    <m/>
    <s v="●"/>
    <s v="≪想像、先読み力≫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9"/>
    <x v="2"/>
    <n v="5"/>
    <s v="08発災翌日12時"/>
    <s v="個別"/>
    <x v="2"/>
    <s v="発災翌日12時_x000a__x000a_持株会社より、「国内のNTTグループ会社において、震災の混乱を利用した、サービス公式HPに対するDDoS攻撃が複数発生中」との連絡が入りました。_x000a__x000a_あなたならどのような行動をとりますか？_x000a_何を使用し、何を行うか具体的に記述して下さい。_x000a__x000a_※評価対象コンピテンシー：計画力"/>
    <s v="【自社への攻撃発生無】_x000a_ ・情報統括班、広報班並びにサービス班への情報共有と警戒強化並びに異常時の報告依頼実施_x000a_ ・DDoS攻撃に関する情報収集強化（班内対応）"/>
    <m/>
    <m/>
    <m/>
    <m/>
    <m/>
    <m/>
    <m/>
    <m/>
    <s v="●"/>
  </r>
  <r>
    <x v="9"/>
    <x v="2"/>
    <n v="6"/>
    <s v="08発災翌日12時"/>
    <s v="個別"/>
    <x v="2"/>
    <s v="発災翌日12時_x000a__x000a_社員から震災の避難時に会社PC（又はセキュアモバイル対応の会社スマートフォン）を紛失したとの連絡が入りました。_x000a__x000a_あなたならどのような行動をとりますか？_x000a_何を使用し、何を行うか具体的に記述して下さい。_x000a__x000a_※評価対象コンピテンシー：情報収集力、想像・先読み力、計画力"/>
    <s v="【セキュアドPCの紛失のみ、書類等の紛失無、紛失後の第三者利用無】_x000a_ ・紛失時の状況と該当資産の情報を確認、PC等以外の紛失が無い事を確認_x000a_ ・PCの場合は、紛失時～ワイプ処理までの利用履歴を確認し、本人へも連絡_x000a_ ・PCの場合はワイプ実施、スマホの場合は上長よりワイプ処理依頼実施をMDMセンタへ連絡"/>
    <m/>
    <m/>
    <s v="●"/>
    <s v="≪情報収集力≫_x000a_・自身で紛失状況や該当データの確認を実施する　１点_x000a_・班内メンバに役割を与え、早期事実確認をできる体制を整える　２点_x000a_・本部を通して、各班に対して、周知するとともに同事象が起きないよう、注意喚起をすること　３点"/>
    <m/>
    <m/>
    <s v="●"/>
    <s v="≪想像、先読み力≫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9"/>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10"/>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10"/>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10"/>
    <x v="2"/>
    <n v="3"/>
    <s v="05発災当日22時"/>
    <s v="個別"/>
    <x v="2"/>
    <s v="発災当日22時_x000a__x000a_中央第二光（新立川別～新宿別）ケーブル断に伴う、影響回線リストが全社情報共有の会議で共有されました。_x000a__x000a_あなたならどのような行動をとりますか？_x000a_何を使用し、何を行うか具体的に記述して下さい。_x000a__x000a_※評価対象コンピテンシー：情報収集力、情報分析力"/>
    <s v="・危機管理DBの確認_x000a_・回線リストから影響システムの特定（社内システム班連携）"/>
    <m/>
    <m/>
    <s v="●"/>
    <s v="≪情報収集力≫_x000a_・なんとか自分自身で情報収集（断が影響にHitするか）を行う行動　１点_x000a_・身近で活動可能な班内メンバを統制して行動に移す　２点_x000a_　活動可能なメンバを把握して、役割分担を提案している_x000a_・班間でのサポートを影響周知、早期復旧要請する等の行動を起こす　３点"/>
    <s v="●"/>
    <s v="≪情報分析力≫　※システムが壊れているので、回線は直すしかないよね。_x000a_・なんとか自分自身で情報分析を行う行動　１点_x000a_・社内システムへの影響把握　1点_x000a_・班内メンバを通して事実の確認を行う　２点_x000a_　活動可能なメンバを把握して、役割分担を提案している_x000a_・社内システムへの影響把握＋業務影響度の把握　2点_x000a_・災対本部など、班間でのサポートを要請（注意喚起）する等の行動を起こす　３点_x000a_・社内システムへの影響把握＋業務影響度の把握＋復旧優先順位の把握　3点_x000a_"/>
    <m/>
    <m/>
    <m/>
  </r>
  <r>
    <x v="10"/>
    <x v="2"/>
    <n v="4"/>
    <s v="04発災当日21時"/>
    <s v="個別"/>
    <x v="2"/>
    <s v="発災当日21時_x000a__x000a_唐ヶ崎、白鬚、千葉港、TRC、一ツ橋ビル停電発生。電力・空調設備は異常なし（エンジン運転中）と、全社情報共有の会議で共有されました。_x000a__x000a_あなたならどのような行動をとりますか？_x000a_何を使用し、何を行うか具体的に記述して下さい。_x000a__x000a_※評価対象コンピテンシー：情報収集力、計画力"/>
    <s v="・危機管理DBの確認_x000a_・影響システムの特定（社内システム班連携）_x000a_・対応策の検討（切替、迂回、サービス中段）_x000a_・対応策の実行_x000a_・社内周知_x000a__x000a_"/>
    <m/>
    <m/>
    <s v="●"/>
    <s v="≪情報収集力≫_x000a_・発生している設備影響を自班内へ展開　１点_x000a_・設備影響から想定される直接的なサービス影響と、社内への影響を確認・情報収集と、自班内への展開　２点_x000a_・設備影響から派生する、間接的なサービス影響や、社内への影響、その他影響を想像して行動に移せる　3点_x000a_　（中継NWの片系状態や、信頼性の低下　等）"/>
    <m/>
    <m/>
    <m/>
    <m/>
    <s v="●"/>
  </r>
  <r>
    <x v="10"/>
    <x v="2"/>
    <n v="5"/>
    <s v="04発災当日21時"/>
    <s v="個別"/>
    <x v="2"/>
    <s v="発災当日21時_x000a__x000a_担当しているシステムが稼働しているクラウド基盤に接続できないという事象が確認できており、復旧のめどはたっていない状況です。_x000a__x000a_あなたならどのような行動をとりますか？_x000a_何を使用し、何を行うか具体的に記述して下さい。_x000a__x000a_※評価対象コンピテンシー：情報収集力、計画力"/>
    <s v="・SDPFの基盤情報に関する情報収集_x000a_・影響システム特定と影響範囲確認_x000a_・対応策の検討_x000a_・対応策実行_x000a_・社内周知"/>
    <m/>
    <m/>
    <s v="●"/>
    <s v="≪情報収集力≫_x000a_・発生している設備影響を自班内へ展開　１点_x000a_・設備影響から想定される直接的なサービス影響と、社内への影響を確認・情報収集と、自班内への展開　２点_x000a_・設備影響から派生する、間接的なサービス影響や、社内への影響、その他影響を想像して行動に移せる　3点"/>
    <m/>
    <m/>
    <m/>
    <m/>
    <s v="●"/>
  </r>
  <r>
    <x v="10"/>
    <x v="2"/>
    <n v="6"/>
    <s v="07発災翌日9時"/>
    <s v="個別"/>
    <x v="2"/>
    <s v="発災翌日9時_x000a__x000a_担当しているシステムが稼働しているクラウド基盤に接続できないという事象が復旧しました。_x000a__x000a_あなたならどのような行動をとりますか？_x000a_何を使用し、何を行うか具体的に記述して下さい。_x000a__x000a_※評価対象コンピテンシー：計画力"/>
    <s v="・対応策の実行_x000a_・サービス正常性確認_x000a_・社内周知"/>
    <m/>
    <m/>
    <m/>
    <m/>
    <m/>
    <m/>
    <m/>
    <m/>
    <s v="●"/>
  </r>
  <r>
    <x v="10"/>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11"/>
    <x v="2"/>
    <n v="1"/>
    <s v="03発災当日20時"/>
    <s v="共通09"/>
    <x v="1"/>
    <s v="発災当日20時_x000a__x000a_引き続き、ネットは繋がるが、携帯電話は輻輳中で繋がりにくい状況です。班員とは連絡がとれましたが、班長と連絡が取れません。_x000a__x000a_あなたならどのような行動をとりますか？_x000a_何を使用し、何を行うか具体的に記述して下さい。_x000a__x000a_※評価対象コンピテンシー：コミュニケーション力、情報収集力"/>
    <s v="・携帯、SMS、Teams、Eメール等のあらゆるツールを駆使し、秘書への確認も含め班長との連絡確保及び安否確認_x000a_・平行して、本部長支援の班員として、全社情報共有の輪への参加や危機管理DBの確認・登録を行う"/>
    <s v="●"/>
    <s v="≪コミュニケーション力≫　発災から2時間経過し状況が変わらない中での行動を評価_x000a_・自分自身が班長と連絡不可であることを情報発信している記載　１点（自らコミュニケーション、一方向の情報発信）_x000a_・自班の中でなんとか連絡しようとチャレンジしている、2点（各組織総務厚生班とのコミュニケーション、コミュニケーションをとるために個別に連絡をするのか、teamsなどを活用して全体でつなげてコミュニケーションをとるとしてるか？＝統一したこにゅにケーション要素をとっているか？）_x000a_・班間をまたがる連携、コミュニケーションを意識している　３点（対策本部に連絡をとっているか、班長と連絡が取れないので代行を立てる話を盛り込む）対策本部へ共有できるか？_x000a_・班長代行を考慮した班内のリーダーシップと対策本部への報告　3点"/>
    <s v="●"/>
    <s v="≪情報収集力≫発災から2時間経過し状況が変わらない中での行動を評価、情報分析できるレベルの情報が収集できるか？_x000a_・自分自身または関連メンバで、班長への連絡を試みる行動　1点（社内ツールの使用した連絡の試み）自分の情報、分析・検討に必要な情報の内の一部_x000a_・並行して自班の活動の情報収集　２点（SNS等の代替手段を活用した連絡の試み）班内で集めた情報を取りまとめる　分析に必要な情報をとっている場合_x000a_・情報統括班へ連絡しサポートを要請する行動、または代替案の検討等、なんとかしようとする行動で　３点（班代表代理を意識した上での情報収集）世の中（被災状況）の情報、外的リスク、社外や周囲の情報"/>
    <m/>
    <m/>
    <m/>
    <m/>
    <m/>
  </r>
  <r>
    <x v="11"/>
    <x v="2"/>
    <n v="2"/>
    <s v="04発災当日21時"/>
    <s v="共通10"/>
    <x v="1"/>
    <s v="発災当日21時_x000a__x000a_西日本初動本部より、22時から全社情報共有の会議を実施する連絡が入りました。班長不在の中、会議開始までの1時間で班としてやるべきことを検討して下さい。_x000a__x000a_※評価対象コンピテンシー：コミュニケーション力、計画力"/>
    <s v="班を代表して、西初動本部とのやりとりが始まるので何をもって班行動が開始できるか？（誰がそろったら？、どの機能なのか？）_x000b_班のどんな機能が揃えば班行動が開始できるか？副班長と連絡をとる、班長代行を立てる、自分が班長代行"/>
    <s v="●"/>
    <s v="≪コミュニケーション力≫_x000a_班内班員との連携を密に行う。（連絡が取れるツールで）_x000a_班内班員の状況を整理"/>
    <m/>
    <m/>
    <m/>
    <m/>
    <m/>
    <m/>
    <s v="●"/>
  </r>
  <r>
    <x v="11"/>
    <x v="2"/>
    <n v="3"/>
    <s v="発災当日23時"/>
    <s v="個別"/>
    <x v="2"/>
    <s v="発災当日23時_x000a__x000a_総務省から被害状況の報告依頼が来ている旨が全社情報共有の会議で報告されました。全社情報共有の会議後に、西日本初動本部からどのように対応すべきか危機管理室へ相談がありました。_x000a__x000a_あなたならどのように対応しますか？_x000a__x000a_※評価対象コンピテンシー：コミュニケーション力、情報収集力"/>
    <s v="全体会議が終了。西初動本部が迷っているような問題を出し、危機管理室に支援を求めてくるような問題_x000a_どう対処するか？　危機管理室で対応するのか？西に動いてもらうのか？"/>
    <s v="●"/>
    <s v="≪コミュニケーション力≫_x000a_西初動本部マニュアルでの説明ができるか？_x000a_NGの場合、自身でDaas-Netへの登録が可能か？_x000a_次回の報告が可能か確認する"/>
    <s v="●"/>
    <s v="≪情報収集≫_x000a_西初動本部にて対応の可否（マニュアル記述場所等の説明）_x000a_設備影響、サービス影響の収集、社員安否状況、ドコモグループ被災状況"/>
    <m/>
    <m/>
    <m/>
    <m/>
    <m/>
  </r>
  <r>
    <x v="11"/>
    <x v="2"/>
    <n v="4"/>
    <s v="発災当日23時"/>
    <s v="個別"/>
    <x v="2"/>
    <s v="発災当日23時_x000a__x000a_このまま在宅勤務を続けると、会社PCや会社スマートフォンのバッテリーがなくなりそうです。_x000a__x000a_西日本初動本部から引継ぎを受けて情報統括班を立上げられるよう、いつまでにどのような準備をしますか？_x000a__x000a_※評価対象コンピテンシー：想像・先読み力、計画力"/>
    <s v="・24時間くらいは家でも対応できるだろうが、バッテリーもなくなるので、その後を見据えて計画できるか？_x000a_・機能復活条件は危機管理必携に要記載（以前「措置表」としてまとめた）_x000a_　※体制（班長を立てる）、場所、ツール_x000a_　※総務、広報、情報統括の3班の班機能確認で引継ぎが可能"/>
    <m/>
    <m/>
    <m/>
    <m/>
    <m/>
    <m/>
    <s v="●"/>
    <s v="≪想像・先読み≫_x000a_googleマップなどで自転車、徒歩での移動時間を算出_x000a_橋梁崩壊、ビル倒壊、火災発生等の発生しやすい箇所の割り出し"/>
    <s v="●"/>
  </r>
  <r>
    <x v="11"/>
    <x v="2"/>
    <n v="5"/>
    <s v="発災翌日_x000a_6時"/>
    <s v="個別"/>
    <x v="2"/>
    <s v="発災翌日6時_x000a__x000a_大手町プレイスへ移動することにしました。_x000a__x000a_西日本初動本部へ移動前に何を報告しますか？_x000a__x000a_※評価対象コンピテンシー：想像・先読み力、計画力"/>
    <s v="自身の大手町への到着予定時刻の報告_x000a_（ブラックアウトを想定　→状況付与でスタート時点から停電想定）"/>
    <m/>
    <m/>
    <m/>
    <m/>
    <m/>
    <m/>
    <s v="●"/>
    <s v="≪想像・先読み≫_x000a_移動手段での難易度_x000a_移動時の連絡手段の確保_x000a_連絡手段の確保が難航した場合の回避措置_x000a_移動途中での情報収集から報告方法"/>
    <s v="●"/>
  </r>
  <r>
    <x v="11"/>
    <x v="2"/>
    <n v="6"/>
    <s v="発災翌日_x000a_7時"/>
    <s v="個別"/>
    <x v="2"/>
    <s v="発災翌日7時_x000a__x000a_大手町プレイスへ自転車で移動中です。_x000a_あたりは真っ暗できれいな星空です。遠くでは空がオレンジに光っています。_x000a__x000a_西日本初動本部へ何を報告しますか？_x000a__x000a_※評価対象コンピテンシー：コミュニケーション力、情報分析力"/>
    <s v="世の中の被災状況を収集や分析して報告"/>
    <s v="●"/>
    <s v="≪コミュニケーション力≫_x000a_口頭報告、映像提供、場所等"/>
    <m/>
    <m/>
    <s v="●"/>
    <s v="≪情報分析力≫　_x000a_土地勘のない西初動本部への報告のため、場所、方角等わかりやすい内容で、何が想定できるかを分析する"/>
    <m/>
    <m/>
    <m/>
  </r>
  <r>
    <x v="11"/>
    <x v="2"/>
    <n v="7"/>
    <s v="09発災翌日15時"/>
    <s v="共通11"/>
    <x v="1"/>
    <s v="発災翌日15時_x000a__x000a_班長と連絡が取れました。_x000a__x000a_あなたならどのような行動をとりますか？_x000a_何を使用し、何を行うか具体的に記述して下さい。_x000a__x000a_※評価対象コンピテンシー：コミュニケーション力"/>
    <s v="・本部長支援班における班長・班員の安否等について危機管理DB登録_x000a_・全社情報共有の輪に参加し、班の状況報告"/>
    <s v="●"/>
    <s v="≪コミュニケーション≫班員と連絡が取れる状況になったので指示/展開が行えるか？_x000a_・自身や周囲のメンバに班長が参加できる旨展開　１点_x000a_・班内に班長が参加できることを展開するとともに、班長に今までの経緯等を説明する　２点_x000a_・班間に状況を共有、さらにアクションをおこしていれば　３点_x000a_"/>
    <m/>
    <m/>
    <m/>
    <m/>
    <m/>
    <m/>
    <m/>
  </r>
  <r>
    <x v="2"/>
    <x v="3"/>
    <n v="1"/>
    <s v="10発災翌日18時"/>
    <s v="共通12"/>
    <x v="1"/>
    <s v="発災翌日18時_x000a__x000a_西日本初動本部から東京へ引継ぎが完了しました。_x000a_翌日９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_x000a__x000a_■改定案_x000a_災害対策本部会議での円滑なコミュニケーションに向けて、災害対応状況や課題感、情報提供事項、他班から収集したい情報などについて、班長や班員とコミュニケーションをとりながら確認する。"/>
    <s v="●"/>
    <s v="≪コミュニケーション力≫_x000a_活動可能な班員への指示を行い、社内システムの稼働状況の収集_x000a_班員の復活状況の確認_x000a__x000a_■改定案_x000a_1点：班長、班員への周知や情報収集のみ（一方向）_x000a_2点：班長、班員と災害対策本部会議参加に向けて、必要なコミュニケーションをとっている（双方向）_x000a_3点：災害対策本部会議参での円滑なコミュニケーションに向けて、災害対応状況や課題感、情報提供事項、他班から収集したい情報などについて、班長や班員と双方向のコミュニケーションをとって確認している"/>
    <m/>
    <m/>
    <m/>
    <m/>
    <m/>
    <m/>
    <s v="●"/>
  </r>
  <r>
    <x v="2"/>
    <x v="3"/>
    <n v="2"/>
    <s v="10発災翌日18時"/>
    <s v="個別"/>
    <x v="2"/>
    <s v="発災翌日18時_x000a__x000a_四役から大手町プレイスに移動して指揮を執りたいと言われています。_x000a__x000a_引き続き、高速道路、国道は一般車両通行止めになっている区間が多数あり、建物倒壊や道路、橋の被害など、安全に移動できるのかは把握できていない状況です。_x000a__x000a_あなたならどのように対応しますか？_x000a_何を使用し、何を行うか具体的に記述して下さい。_x000a__x000a_※評価対象コンピテンシー：情報分析力、想像・先読み、計画力"/>
    <s v="NHK とか　公式ＨＰで_x000a_危険や一般車両の規制、公共交通機関も止まっている　だが　四役は　大手町に移動して指揮を執りたい_x000a__x000a_板挟みの中で、どのような行動をとるか？_x000a__x000a_・情報統括班に依頼して、移動できるように勧めるか？_x000a_・安全を考慮してとどまってもらうか"/>
    <m/>
    <m/>
    <m/>
    <m/>
    <s v="●"/>
    <s v="≪情報分析≫_x000a_GoogoleMAP　通れるマップなどを使用して、自宅から大手町まで移動可能ルートを検索"/>
    <s v="●"/>
    <s v="≪想像。先読み≫_x000a_通行止め区間が発生しているようであれば、緊急車両を使用して移動手段の確保、その場合、1台しかないため、1回で行えるか、数回のピストン輸送が必要か確認"/>
    <s v="●"/>
  </r>
  <r>
    <x v="2"/>
    <x v="3"/>
    <n v="3"/>
    <s v="11発災3日後12時"/>
    <s v="個別"/>
    <x v="2"/>
    <s v="発災3日後12時_x000a__x000a_全社情報共有の会議にて、情報統括班（危機管理室）から以下の報告がありました。_x000a__x000a_「持株会社の災害対策室よりNTTグループ各社の幹部（社長または副社長）を集めた会議を中央研修センターで対面開催したいとの要請があった」_x000a__x000a_本部長支援として、あなたなら、どのような行動を取りますか？_x000a_具体的に記述して下さい。_x000a__x000a_評価対象コンピテンシー：情報収集力、計画力"/>
    <s v="情報統括班と相談してXXする。本部長支援として、四役の動きを想定し、幹部の内、誰が出るのか出ないのか、秘書室と連携して対応を検討する。"/>
    <m/>
    <m/>
    <s v="●"/>
    <s v="≪情報収集力≫_x000a_・自身で収集　1点_x000a_・班内を巻き込んで収集　2点_x000a_・班間の情報を含め収集（ほかにあるのか等）し、精査する　3点"/>
    <m/>
    <m/>
    <m/>
    <m/>
    <s v="●"/>
  </r>
  <r>
    <x v="2"/>
    <x v="3"/>
    <n v="4"/>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_x000a__x000a_■改定案_x000a_メンバーとのコミュニケーション実施。休憩状況や心身の状況を把握して、疲弊を理解する。_x000a__x000a_リーダーを決めて全体シフトを決め、1週間後程度の継続性を担保する。引継ぎなどができるように配慮するとともに、メンバーの家族の状況など含め、疲労、心労をケアしつつ、体制を維持する。また社員がストレスを抱えることが想定できるので、相談できる窓口やリフレッシュのための休憩スペースを確保する。_x000a__x000a_総務関係や、持株やドコモとも連携しつつ、仕事に集中できる環境のバックアップ。宿泊手配をするが、オフィス泊とならことも念頭に必要品ロジ検討や要員待機場所を確保する。_x000a__x000a_疲労蓄積の結果、復旧当初よりの作業スピードが遅れるおそれもあるが、災対本部に正しく伝えるとともに、必用であればお客様対応班ともコミュニケーションを取る。オペレーション組織・HRと連携し、類似業務実施経験者等募っての支援要員を編成する。（支店等、遠隔から経験者のアサインも考慮）_x000a__x000a_社内報や幹部の直接の声など、勇気づけ、また、休憩をとるようにといったトップの社員へのメッセージ、気持ちの伝達も実施する。_x000a__x000a_代替要員の派遣のための、送迎できる車やタクシーなどの移動手段も確保する。"/>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_x000a__x000a_■改定案_x000a_1点：班員の状況確認_x000a_2点：班員に寄り添いながら、状況を確認し課題感をお互いに共有する_x000a_3点：班員に寄り添いながら、状況を確認し課題感をお互いに共有した上で、社内全体の課題として全体情報共有の会議等で班を超えてコミュニケーションをとりながら解決に取組んでいる。"/>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_x000a__x000a_■改定案_x000a_1点：班員の疲労に関する情報収集をしている_x000a_2点：班員の疲労や必要物資に関して情報収集している_x000a_3点：班員の疲労に関する情報や班活動に必要な全体のリソースと残量、心理面も含めた課題感について情報収集している。"/>
    <m/>
    <m/>
    <m/>
    <m/>
    <s v="●"/>
  </r>
  <r>
    <x v="2"/>
    <x v="3"/>
    <n v="5"/>
    <s v="11発災3日後12時"/>
    <s v="個別"/>
    <x v="2"/>
    <s v="発災3日後12時_x000a__x000a_NTT東日本、NTT西日本より、災害時特設公衆電話の開設について情報連絡がありました。_x000a__x000a_あなたならどのような行動をとりますか？_x000a_何を使用し、何を行うか具体的に記述して下さい。_x000a__x000a_※評価対象コンピテンシー：コミュニケーション力"/>
    <s v="・危機管理室、及びコムの電話サービス等の主管組織へ情報共有_x000a_・危機管理DBへの登録"/>
    <s v="●"/>
    <s v="≪コミュニケーション≫自身で対応するか、班員に指示をだすか明確なアクションの明示が必要_x000a_・自身や周囲のメンバに事実のみを展開　１点_x000a_・情報を班内に展開　２点_x000a_・班間に状況を共有、さらにアクションをおこしていれば　３点_x000a_"/>
    <m/>
    <m/>
    <m/>
    <m/>
    <m/>
    <m/>
    <m/>
  </r>
  <r>
    <x v="2"/>
    <x v="3"/>
    <n v="6"/>
    <s v="13発災7日後12時"/>
    <s v="個別"/>
    <x v="2"/>
    <s v="発災7日後12時_x000a__x000a_持株会社経由で総務省から、料金減免方針等の支援策の報告依頼がありました。_x000a__x000a_あなたならどのような行動をとりますか？_x000a_何を使用し、何を行うか具体的に記述して下さい。_x000a__x000a_※評価対象コンピテンシー：コミュニケーション力、情報収集力"/>
    <s v="・各サービスにおける料金減免等支援策の適用確認_x000a_・持株への報告"/>
    <s v="●"/>
    <s v="≪コミュニケーション≫災害対策本部態勢下における正しいプロセスが行えるか？_x000a_・自身や周囲のメンバに事実のみ展開　１点_x000a_・班内に依頼を展開するとともに対応指示する　２点_x000a_・班間（各サービス）に状況を共有、さらにアクションをおこしていれば　３点"/>
    <s v="●"/>
    <s v="≪情報収集力≫（発災7日後の落ち着いた状況ではあるが）自班に限らず全社に目を向けて情報収集・発信ができるか？_x000a_・自身で収集　1点_x000a_・班内を巻き込んで収集　2点_x000a_・班間の情報を含め収集（ほかにあるのか等）し、精査する　3点_x000a_"/>
    <m/>
    <m/>
    <m/>
    <m/>
    <m/>
  </r>
  <r>
    <x v="2"/>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へ情報のソースを確認(総務省経由、NTTグループ経由等)_x000a_・情報統括班に対し計画停電エリアおよびスケジュールの確認依頼をするとともに、コムG各社への情報連携に関して検討_x000a__x000a_■改定案_x000a_計画停電の詳細（いつ、どこで、何時間等）の正確な情報を取得する。東京電力に確認してもらうように情報統括班に依頼する。その上で、オペレーション組織と連携した影響の具体化、影響回避・軽減方策の具体化を検討する。なお、人命に関わる深刻な影響が生じる場合はエスカレする。_x000a__x000a_計画停電エリアにある設備(ビル)を確認し、停電時に影響を受けるサービスを洗い出す。_x000a__x000a_影響回避・軽減策の具体的な準備工程、実施方法を明確化する。3日後の計画停電対応に万全を期すことに加え、計画停電が繰り返される場合の対応を含め評価・準備しておく。_x000a__x000a_サービス継続提供が困難と思われる場合は、お客様への事前通知の要否や通知方法、サイトへの掲載について、必要に応じてお客様対応班と連携しながら意識合わせを行い、関係者に作業指示を出す。これらの対応状況については全社情報共有の場で報告、共有する。"/>
    <m/>
    <m/>
    <m/>
    <m/>
    <s v="●"/>
    <s v="≪情報分析力≫本部長支援としての分析ができるか？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_x000a_※「サービス」を「本部員/班員の影響」に置き換えても可とする_x000a__x000a_■改定案_x000a_1点：計画停電に伴うサービスへの影響を想定している_x000a_2点：いつ、どこで、どれくらいの時間の停電が計画されているのかを確認し、サービス影響を具体的に分析している_x000a_3点：いつ、どこで、どれくらいの時間の停電が計画されているのかを確認し、サービス影響を具体的に分析した結果が、影響顧客への対応や事前対策に反映されている"/>
    <s v="●"/>
    <s v="≪想像、先読み力≫計画停電の長期化も視野に入れた想像が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_x000a__x000a_■改定案_x000a_1点：計画停電による、サービス影響を想定している_x000a_2点：計画停電によって影響を受けるサービスの被害（サービス名、影響期間、影響内容）を想定している_x000a_3点：計画停電によって影響を受けるサービスの被害（サービス名、影響期間、影響内容）を想定した上で、具体的に対応や予防策を検討している"/>
    <s v="●"/>
  </r>
  <r>
    <x v="3"/>
    <x v="3"/>
    <n v="1"/>
    <s v="10発災翌日18時"/>
    <s v="共通12"/>
    <x v="1"/>
    <s v="発災翌日18時_x000a__x000a_西日本初動本部から東京へ引継ぎが完了しました。_x000a_翌日９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
    <m/>
    <m/>
    <m/>
    <m/>
    <m/>
    <m/>
    <s v="●"/>
  </r>
  <r>
    <x v="3"/>
    <x v="3"/>
    <n v="2"/>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まだ継続できる社員と休ませる社員を分け、ローテーションを組む。班長、副班長もローテーションでどう割り振るか計画する。_x000a__x000a_＝＝＝_x000a_＜情報収集力＞_x000a_まずは各担当者の勤務状況や食料や備品の残量を把握する。ヒアリングする際には班員の精神状況を合わせて確認する。_x000a__x000a_下記計画に必要な情報収集_x000a__x000a_＜計画力＞_x000a_拠点ごとに必要な人員と、実際に活動可能な班員数からシフトを組んだり、複数チームを組む。大幅に人数が不足している場合は、拠点の統廃合を検討する。_x000a__x000a_活動拠点や配置人数に応じて、不足する物資手配を総務厚生班に依頼する。対応していもらえない場合は、ルールを確認の上、自分たちで調達することも計画する。"/>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3"/>
    <x v="3"/>
    <n v="3"/>
    <s v="11発災3日後12時"/>
    <s v="個別"/>
    <x v="2"/>
    <s v="発災翌日12時_x000a__x000a_NTTドコモ支社からNTTドコモビジネス支社へ「地方新聞社から至急の取材依頼が来ている」と電話がありました。_x000a__x000a_あなたならどのような行動を行いますか？_x000a_何を使用し、何を行うか具体的に記述して下さい。_x000a__x000a_※評価対象コンピテンシー：コミュニケーション力"/>
    <s v="・メディア対応については広報班が主導し対応_x000a_・現地対応が必要な場合はコム支社広報、ドコモ支社広報と連携しながら対応_x000a__x000a_＝＝＝_x000a_≪コミュニケーション力≫_x000a_メディア対応については広報班が主導して対応する旨を伝えるよう指示する。現地対応が必要な場合に備えてコム支社広報、ドコモ支社広報と連携しながら対応する。"/>
    <s v="●"/>
    <s v="≪コミュニケーション力≫_x000a_・班内で指示/連絡をとろうとしている　１点_x000a_・班内、班間で具体的に意思疎通（傾聴＋伝達）している　２点_x000a_・組織や立場を超えて、付加価値を付けた上で自身の考えを意思疎通（傾聴＋伝達）している　３点"/>
    <m/>
    <m/>
    <m/>
    <m/>
    <m/>
    <m/>
    <m/>
  </r>
  <r>
    <x v="3"/>
    <x v="3"/>
    <n v="4"/>
    <s v="11発災3日後12時"/>
    <s v="個別"/>
    <x v="2"/>
    <s v="発災3日後12時_x000a__x000a_お客様対応班より、「某都市銀行のサービス停止はNTTドコモビジネスのサービス影響によるものだと発表してほしい」と某都市銀行様から強く要求されていると連絡がありました。_x000a__x000a_あなたならどのような行動を行いますか？_x000a_何を使用し、何を行うか具体的に記述して下さい。_x000a__x000a_※評価対象コンピテンシー：コミュニケーション力、計画力"/>
    <s v="・お客さま名を出しての発表については、他のお客様への影響もお客様対応班と慎重に検討_x000a_・お客さまの広報とQAの意識合わせ、メディア対応分担を検討_x000a__x000a_＝＝＝_x000a_≪コミュニケーション力≫_x000a_お客様対応班との連絡をとって、サービス停止状況の把握と、なぜこのような要求をしているお客様背景を確認するとともに、お客様名を出すことは慎重に検討する旨を理解してもらう。_x000a__x000a_≪計画力≫_x000a_収集した情報をもとに、対応方針を検討し、お客様広報とQAの意識合わせや必要に応じてメディア対応の分担を検討する。"/>
    <s v="●"/>
    <s v="≪コミュニケーション力≫_x000a_・班内で指示/連絡をとろうとしている　１点_x000a_・班内、班間で具体的に意思疎通（傾聴＋伝達）している　２点_x000a_・組織や立場を超えて、付加価値を付けた上で自身の考えを意思疎通（傾聴＋伝達）している　３点"/>
    <m/>
    <m/>
    <m/>
    <m/>
    <m/>
    <m/>
    <s v="●"/>
  </r>
  <r>
    <x v="3"/>
    <x v="3"/>
    <n v="5"/>
    <s v="13発災7日後12時"/>
    <s v="個別"/>
    <x v="2"/>
    <s v="発災7日後12時_x000a__x000a_SNS上で、NTTドコモビジネスを名乗り「地震で被害を受けた方に料金を返還するので口座情報を教えてほしい」という不審メールが来たとの投稿が25件ありました。_x000a__x000a_あなたならどのような行動を行いますか？_x000a_何を使用し、何を行うか具体的に記述して下さい。_x000a__x000a_※評価対象コンピテンシー：情報分析力、計画力"/>
    <s v="・必要に応じ、HPやSNSで正しい事実関係の発信を検討_x000a__x000a_＝＝＝_x000a_≪情報分析力≫_x000a_不審メールの出所や内容、類似のニセ情報が出回っていないのか情報を収集して分析するとともに、全社災対会議でも情報を共有して注意喚起を促す。_x000a__x000a_≪計画力≫_x000a_HPやSNSを通じて、事実関係や注意喚起を発信するよう班員に指示する。"/>
    <m/>
    <m/>
    <m/>
    <m/>
    <s v="●"/>
    <s v="≪情報分析力≫_x000a_・情報分析（重大な影響を及ぼす可能性がある因子の特定）を試みている　１点_x000a_・情報分析を行い、重大な影響を及ぼす可能性がある因子の特定している　２点_x000a_・情報分析を行い、重大な影響を及ぼす可能性がある因子の特定した上で、災対本部など、班間でのサポートを要請（注意喚起）する等の行動を起こしている　３点"/>
    <m/>
    <m/>
    <s v="●"/>
  </r>
  <r>
    <x v="3"/>
    <x v="3"/>
    <n v="6"/>
    <s v="13発災7日後12時"/>
    <s v="個別"/>
    <x v="2"/>
    <s v="発災7日後12時_x000a__x000a_日経新聞より「通信インフラの大地震対応を振り返る」という特集を組みたいと相談があり、サービス責任者への取材を申し込まれました。_x000a__x000a_あなたならどのような行動を行いますか？_x000a_何を使用し、何を行うか具体的に記述して下さい。_x000a__x000a_※評価対象コンピテンシー：コミュニケーション力、計画力"/>
    <s v="・持株やドコモの広報ラインと連携しながら真摯にメディア対応するがサービス復旧、混乱の解消が優先であり、対応は見極める_x000a__x000a_＝＝＝_x000a_≪コミュニケーション力≫_x000a_持株やドコモの広報ラインと連携しながら、NTTグループとして真摯にメディア対応する。_x000a__x000a_≪計画力≫_x000a_サービス復旧、混乱の解消が優先であるため、復旧状況に応じて、取材の受入れ可否や時期を計画する。"/>
    <s v="●"/>
    <s v="≪コミュニケーション力≫_x000a_・班内で指示/連絡をとろうとしている　１点_x000a_・班内、班間で具体的に意思疎通（傾聴＋伝達）している　２点_x000a_・組織や立場を超えて、付加価値を付けた上で自身の考えを意思疎通（傾聴＋伝達）している　３点"/>
    <m/>
    <m/>
    <m/>
    <m/>
    <m/>
    <m/>
    <s v="●"/>
  </r>
  <r>
    <x v="3"/>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へ情報のソースを確認(総務省経由、NTTグループ経由等)_x000a_・情報統括班に対し計画停電エリアおよびスケジュールの確認依頼をするとともに、コムG各社への情報連携に関して検討_x000a__x000a_＝＝＝_x000a_≪情報分析力≫_x000a_計画停電のエリアや時間からサービスや設備へ影響が出る可能を分析したり、関係班から情報を収集する。_x000a__x000a_≪想像、先読み力≫_x000a_サービス影響により、混乱が生じるエリアや影響度を先読みする。サービス影響がでない場合であっても、問い合わせが増加することは想定しておく。_x000a__x000a_≪計画力≫_x000a_計画停電に伴うサービス影響が出る場合は、事前に情報発信したり、QA集を準備しておく。サービス影響が出ない場合であっても、問い合わせが増加することが予想されるので、その対応策を計画しておく。"/>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4"/>
    <x v="3"/>
    <n v="1"/>
    <s v="10発災翌日18時"/>
    <s v="共通12"/>
    <x v="1"/>
    <s v="発災翌日18時_x000a__x000a_西日本初動本部から東京へ引継ぎが完了しました。_x000a_翌日９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
    <m/>
    <m/>
    <m/>
    <m/>
    <m/>
    <m/>
    <s v="●"/>
  </r>
  <r>
    <x v="4"/>
    <x v="3"/>
    <n v="2"/>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まだ継続できる社員と休ませる社員を分け、ローテーションを組む。班長、副班長もローテーションでどう割り振るか計画する。_x000a__x000a_＝＝＝_x000a_＜情報収集力＞_x000a_まずは各担当者の勤務状況や食料や備品の残量を把握する。ヒアリングする際には班員の精神状況を合わせて確認する。_x000a__x000a_下記計画に必要な情報収集_x000a__x000a_＜計画力＞_x000a_拠点ごとに必要な人員と、実際に活動可能な班員数からシフトを組んだり、複数チームを組む。大幅に人数が不足している場合は、拠点の統廃合を検討する。_x000a__x000a_活動拠点や配置人数に応じて、不足する物資手配を総務厚生班に依頼する。対応していもらえない場合は、ルールを確認の上、自分たちで調達することも計画する。"/>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4"/>
    <x v="3"/>
    <n v="3"/>
    <s v="11発災3日後12時"/>
    <s v="個別"/>
    <x v="2"/>
    <s v="発災3日後12時_x000a__x000a_自班のTeamsチャットに、田町ビルの災対備蓄品がほぼ無くなったとの報告が入りました。_x000a__x000a_あなたならどのような行動をとりますか？_x000a_何を使用し、何を行うか具体的に記述して下さい。_x000a__x000a_※評価対象コンピテンシー：想像・先読み力、計画力"/>
    <s v="近隣の他ビル（大手町プレイス等）からの支援（物資の確認と搬入等）計画を立案し指示。田町ビル総務厚生班に伝え搬入ルート、時間等を調整し、実施。"/>
    <m/>
    <m/>
    <m/>
    <m/>
    <m/>
    <m/>
    <s v="●"/>
    <s v="≪想像、先読み力≫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4"/>
    <x v="3"/>
    <n v="4"/>
    <s v="11発災3日後12時"/>
    <s v="個別"/>
    <x v="2"/>
    <s v="発災3日後12時_x000a__x000a_NTTドコモビジネスのオフィスビルにおいては、猿楽ビル玄関以外はほぼ通常稼働に回復していることが、自班のTeamsチャットで確認できました。_x000a__x000a_猿楽ビルに対して、あなたならどのような行動をとりますか？_x000a_何を使用し、何を行うか具体的に記述して下さい。_x000a__x000a_※評価対象コンピテンシー：コミュニケーション力、計画力"/>
    <s v="首都圏組織、災対本部委等との復旧連絡。"/>
    <s v="●"/>
    <s v="≪コミュニケーション力≫　復旧計画立案に必要なコミュニケーション_x000a_・班内で指示/連絡をとろうとしている　１点_x000a_・班内、班間で具体的に意思疎通（傾聴＋伝達）している　２点_x000a_・組織や立場を超えて、付加価値を付けた上で自身の考えを意思疎通（傾聴＋伝達）している　３点"/>
    <m/>
    <m/>
    <m/>
    <m/>
    <m/>
    <m/>
    <s v="●"/>
  </r>
  <r>
    <x v="4"/>
    <x v="3"/>
    <n v="5"/>
    <s v="12発災3日後18時"/>
    <s v="個別"/>
    <x v="2"/>
    <s v="発災3日後18時_x000a__x000a_地震発生から72時間後の安否集計結果が、回答数10,500名。1割程度が本人・家族・家屋に被害発生。業務可能者は出社・リモートを含め7割程度。怪我の他に発熱症状の社員、家族報告が増加。_x000a__x000a_あなたならどのような行動をとりますか？_x000a_何を使用し、何を行うか具体的に記述して下さい。_x000a__x000a_※評価対象コンピテンシー：コミュニケーション力、情報分析力、計画力"/>
    <s v="状況をとりまとめ災対本部へ報告。危機管理DBへ記載。発熱者は季節性インフルエンザ/新型コロナへの罹患が疑われるため可能な範囲で隔離避難を実施。Comオフィスビルにおいては、発熱者の隔離、市販薬剤・消毒用品等を可能な範囲で配布。"/>
    <s v="●"/>
    <s v="≪コミュニケーション力≫　計画立案に必要なコミュニケーション_x000a_・班内で指示/連絡をとろうとしている　１点_x000a_・班内、班間で具体的に意思疎通（傾聴＋伝達）している　２点_x000a_・組織や立場を超えて、付加価値を付けた上で自身の考えを意思疎通（傾聴＋伝達）している　３点_x000a__x000a_≪情報分析力≫　発熱症状者の増加要因分析や今後の予測_x000a_・情報分析（重大な影響を及ぼす可能性がある因子の特定）を試みている　１点_x000a_・情報分析を行い、重大な影響を及ぼす可能性がある因子の特定している　２点_x000a_・情報分析を行い、重大な影響を及ぼす可能性がある因子の特定した上で、災対本部など、班間でのサポートを要請（注意喚起）する等の行動を起こしている　３点"/>
    <m/>
    <m/>
    <s v="●"/>
    <s v="≪情報分析力≫　発熱症状者の増加要因分析や今後の予測_x000a_・情報分析（重大な影響を及ぼす可能性がある因子の特定）を試みている　１点_x000a_・情報分析を行い、重大な影響を及ぼす可能性がある因子の特定している　２点_x000a_・情報分析を行い、重大な影響を及ぼす可能性がある因子の特定した上で、災対本部など、班間でのサポートを要請（注意喚起）する等の行動を起こしている　３点"/>
    <m/>
    <m/>
    <s v="●"/>
  </r>
  <r>
    <x v="4"/>
    <x v="3"/>
    <n v="6"/>
    <s v="13発災7日後12時"/>
    <s v="個別"/>
    <x v="2"/>
    <s v="発災7日後12時_x000a__x000a_安否が不明な社員が21名、パートナー社員が35名います。各所属組織が連絡を試みていますが、未だ連絡がとれません。_x000a__x000a_あなたならどのような行動をとりますか？_x000a_何を使用し、何を行うか具体的に記述して下さい。_x000a__x000a_※評価対象コンピテンシー：コミュニケーション力、想像・先読み力、計画力"/>
    <s v="各組織、上長、派遣会社等で連絡を継続する。“総務厚生班の輪”で情報を共有し、会社方針を決定・確認する。"/>
    <s v="●"/>
    <s v="≪コミュニケーション力≫　安否不明者対応に必要なコミュニケーション_x000a_・班内で指示/連絡をとろうとしている　１点_x000a_・班内、班間で具体的に意思疎通（傾聴＋伝達）している　２点_x000a_・組織や立場を超えて、付加価値を付けた上で自身の考えを意思疎通（傾聴＋伝達）している　３点"/>
    <m/>
    <m/>
    <m/>
    <m/>
    <s v="●"/>
    <s v="≪想像、先読み力≫　安否不明者のおかれた状況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4"/>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へ情報のソースを確認(総務省経由、NTTグループ経由等)_x000a_・情報統括班に対し計画停電エリアおよびスケジュールの確認依頼をするとともに、コムG各社への情報連携に関して検討_x000a__x000a_＝＝＝_x000a_≪情報分析力≫_x000a_計画停電のエリアや時間からサービスや設備へ影響が出る可能を分析したり、関係班から情報を収集する。_x000a__x000a_≪想像、先読み力≫_x000a_サービス影響により、混乱が生じるエリアや影響度を先読みする。サービス影響がでない場合であっても、問い合わせが増加することは想定しておく。_x000a__x000a_≪計画力≫_x000a_計画停電に伴うサービス影響が出る場合は、事前に情報発信したり、QA集を準備しておく。サービス影響が出ない場合であっても、問い合わせが増加することが予想されるので、その対応策を計画しておく。"/>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5"/>
    <x v="3"/>
    <n v="1"/>
    <s v="10発災翌日18時"/>
    <s v="共通12"/>
    <x v="1"/>
    <s v="発災翌日18時_x000a__x000a_西日本初動本部から東京へ引継ぎが完了しました。_x000a_翌日９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
    <m/>
    <m/>
    <m/>
    <m/>
    <m/>
    <m/>
    <s v="●"/>
  </r>
  <r>
    <x v="5"/>
    <x v="3"/>
    <n v="2"/>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5"/>
    <x v="3"/>
    <n v="3"/>
    <s v="11発災3日後12時"/>
    <s v="個別"/>
    <x v="2"/>
    <s v="発災3日後12時_x000a__x000a_班間連携チャネルにて、お客様対応班より防衛省から問い合わせが入ったとの情報がありました。「東京、神奈川、千葉、埼玉の臨時回線の準備はまだですか？」_x000a__x000a_あなたならどのような行動をとりますか？_x000a_何を使用し、何を行うか具体的に記述して下さい。_x000a__x000a_※評価対象コンピテンシー：情報収集力、情報分析力"/>
    <s v="依頼元および依頼先の確認_x000a_サービス班内で対応中の場合は対応状況(進捗状況)と開通時期を確認し、共有する。"/>
    <m/>
    <m/>
    <s v="●"/>
    <s v="≪情報収集力≫状況を把握する_x000a_・オーダーの発出元及び発出状況の確認を行う（自分の行動）　１点_x000a_・優先して実施しなければいけないオーダーのため、班員へ指示を出しオーダーでの督促が行える　（班メンバの行動）２点_x000a_・アクセスライン事業者へのオーダー確認及び進捗を把握し、お客様へ回答できる情報の収集が行えれる　３点（特定のユーザに特化した対応（迅速性）ができていればよい）"/>
    <s v="●"/>
    <s v="≪情報分析力≫原因を分析する_x000a_・なんとか自分自身で情報分析を行う行動（自分の行動）　１点_x000a_・班内メンバを通して自自の確認を行う　２点_x000a_　活動可能なメンバを把握して、役割分担を提案している　２点_x000a_・災対本部など、班間でのサポートを要請（注意喚起）する等の行動を起こす　３点_x000a_"/>
    <m/>
    <m/>
    <m/>
  </r>
  <r>
    <x v="5"/>
    <x v="3"/>
    <n v="4"/>
    <s v="11発災3日後12時"/>
    <s v="個別"/>
    <x v="2"/>
    <s v="発災3日後12時_x000a__x000a_全社情報共有の会議で、NTT東日本によるアクセスラインの復旧が始まっていると情報が共有されました。それを受けて、お客様対応班からは早期復旧優先依頼がリストとして提示されました。_x000a__x000a_あなたならどのような行動をとりますか？_x000a_何を使用し、何を行うか具体的に記述して下さい。_x000a__x000a_※評価対象コンピテンシー：コミュニケーション力、計画力"/>
    <s v="復旧優先順位について、お客様対応班と意識合わせする。_x000a_ここのお客さまを指定する優先復旧依頼は、通常の故障対応窓口では受け付けないため、危機管理室(情報統括班）経由でグループ連携窓口をを通じNTT東日本へ依頼_x000a_無効派遣とならないようにするため、現地のお客様側の対応者も確認する"/>
    <s v="●"/>
    <s v="≪コミュニケーション力≫必要なステークホルダ（班）と連携が取れるか？_x000a_・班内で指示/連絡をとろうとしている（班内）　１点_x000a_・班内、班間で具体的に意思疎通（傾聴＋伝達）している　２点_x000a_　　#TOC,情報統括班、お客様対応班と意思疎通_x000a_・組織や立場を超えて、付加価値を付けた上で自身の考えを意思疎通（傾聴＋伝達）している　３点_x000a_　　#優先復旧順位を踏まえて、コミュニケーションを取れるか"/>
    <m/>
    <m/>
    <m/>
    <m/>
    <m/>
    <m/>
    <s v="●"/>
  </r>
  <r>
    <x v="5"/>
    <x v="3"/>
    <n v="5"/>
    <s v="11発災3日後12時"/>
    <s v="個別"/>
    <x v="2"/>
    <s v="発災3日後12時_x000a__x000a_班間連携チャネルにて、お客様対応班から「モバイル基地局のバッテリー切れに伴い、携帯電話の不通およびワイヤレスアクセス系のお客様お問い合わせが増えてきました。」との情報が入ってきました。_x000a__x000a_あなたならどのような行動をとりますか？_x000a_何を使用し、何を行うか具体的に記述して下さい。_x000a__x000a_※評価対象コンピテンシー：情報収集力、想像・先読み力"/>
    <s v="携帯サービスの影響については危機管理室(2G:旧法人統制)より入手し、サービス班より報告(危機管理DBへも記載？）_x000a_※大中ゾーン基地局の展開状況、今後の復旧計画など"/>
    <m/>
    <m/>
    <s v="●"/>
    <s v="≪情報収集力≫お客様対応班から得られた情報を確認できるか？_x000a_・なんとか自分自身で問い合わせ元へ情報収集を行う行動（自身の行動）　１点_x000a_・身近で活動可能な班内メンバを統制して行動に移す（班内の統制）　２点_x000a_　活動可能なメンバを把握して、役割分担を提案している（班内の統制）　２点_x000a_・災対本部など、班間でのサポートを要請する等の行動を起こす（班間）　３点_x000a_"/>
    <m/>
    <m/>
    <s v="●"/>
    <s v="≪想像、先読み力≫得られた情報から、次に何が起きるか想像できるか？_x000a_・事態が悪化することを想定できる（単純に想像）　１点_x000a_・事態が悪化することを想定し、今できること（影響サービス、影響リスト）の作成指示（班内の行動）　２点_x000a_・事態が悪化することを想定し、（サービス中断発生）対外的な広報及びお客様対応スクリプトが提案できる、または、事態悪化を未然に防げる対応を提案できる（班間）　　３点_x000a__x000a_"/>
    <m/>
  </r>
  <r>
    <x v="5"/>
    <x v="3"/>
    <n v="6"/>
    <s v="11発災3日後12時"/>
    <s v="個別"/>
    <x v="2"/>
    <s v="発災3日後12時_x000a__x000a_全社情報共有の会議にて広報班から「メディアから『被害状況は？復旧の目途はたっているんですか？』というような問い合わせが多数入っている。」との情報が共有されました。_x000a__x000a_あなたならどのような行動をとりますか？_x000a_何を使用し、何を行うか具体的に記述して下さい。_x000a__x000a_※評価対象コンピテンシー：コミュニケーション力、情報収集力"/>
    <s v="・サービス運用状況（復旧計画）を確認し、全社の輪を通じて、状況の共有を行う。_x000a_・サービス運用状況（復旧計画含む）は都度班員から上がってくる情報を、定期的に危機管理DBの班対応状況にとりまとめ、情報をアップデート。"/>
    <s v="●"/>
    <s v="≪コミュニケーション力≫発災18時間後、問い合わせに対して、どのようにコミュニケーションをとるのか？_x000a_・班内で指示/連絡をとろうとしている　１点_x000a_・班内、班間で具体的に意思疎通（傾聴＋伝達）している　２点_x000a_・組織や立場を超えて、付加価値を付けた上で自身の考えを意思疎通（傾聴＋伝達）している　３点"/>
    <s v="●"/>
    <s v="≪情報収集力≫発災18時間後、問い合わせに対して、どのよう情報収集するのか？_x000a_・なんとか自分自身で情報収集を行う行動　１点_x000a_・身近で活動可能な班内メンバを統制して行動に移す　２点_x000a_　活動可能なメンバを把握して、役割分担を提案している　2点_x000a_・災対本部など、班間でのサポートを要請する等の行動を起こす　３点_x000a_　NTTグループ含め、通信各キャリアの情報収集（広報対応状況）を確認し、行動を起こす　3点"/>
    <m/>
    <m/>
    <m/>
    <m/>
    <m/>
  </r>
  <r>
    <x v="5"/>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へ情報のソースを確認(総務省経由、NTTグループ経由等)_x000a_・情報統括班に対し計画停電エリアおよびスケジュールの確認依頼_x000a_・設備班に対し、通信ビルおよびDCへの影響確認_x000a_・サービス班内に向けて、計画停電時の各サービス影響確認の指示"/>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6"/>
    <x v="3"/>
    <n v="1"/>
    <s v="10発災翌日18時"/>
    <s v="共通12"/>
    <x v="1"/>
    <s v="発災翌日18時_x000a__x000a_西日本初動本部から東京へ引継ぎが完了しました。_x000a_翌日９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_x000a_"/>
    <m/>
    <m/>
    <m/>
    <m/>
    <m/>
    <m/>
    <s v="●"/>
  </r>
  <r>
    <x v="6"/>
    <x v="3"/>
    <n v="2"/>
    <s v="10発災翌日18時"/>
    <s v="個別"/>
    <x v="2"/>
    <s v="発災翌日18時_x000a__x000a_発災翌日、以下の顧客から同時に復旧に関する問い合わせが発生しています。_x000a__x000a_医療機関・自治体_x000a_金融機関_x000a_一般法人（複数拠点を持つ企業）_x000a__x000a_対応の優先順位付けのために、追加でどのような情報収集が必要ですか？_x000a__x000a_※評価対象コンピテンシー：情報収集力、情報分析力"/>
    <s v="災害等対策規程にも記載されているものの改めて優先順位の考え方_x000a_1. 医療機関・自治体（人命・公共機能に直結）　_x000a_2. 金融機関（社会インフラ・信用への影響）_x000a_3. 一般法人（影響度・拠点数に応じて調整）_x000a__x000a_「大口顧客順」としない理由_x000a_災害時は「契約規模」より「社会的影響」が優先される。不適切な優先付けは、会社全体の信頼低下につながる_x000a__x000a_・金融機関の被害とは具体的にどうかを追加で確認、カメラへの影響？金融システムへの影響）_x000a__x000a_どういう情報に元づいて、トリアージ（優先度付け）するかを検討できている。_x000a__x000a_解答例１_x000a_発災翌日なので、まだ現金は必要ではないだろう、やはり命に関連する医療機関を優先する。_x000a__x000a_解答例２_x000a_現金が引き出せないとパニックになることもあり得るのでは？こんな意見を引き出せると良い"/>
    <m/>
    <m/>
    <s v="●"/>
    <s v="≪情報収集力≫どういう情報に元づいて、トリアージ（優先度付け）するかを検討できている。_x000a_・あいまいな情報、情報の羅列のみ　1点_x000a_・状況を取りまとめていて分析に役に立つ項目の収集　２点_x000a_・分析がしやすいリストになっている　3点"/>
    <s v="●"/>
    <s v="≪情報分析力≫_x000a_・優先順位が正しくない　1点_x000a_・優先順位は正しいが、売り上げの多さで見ている　2点_x000a_・模範解答もしくは、災害等対策規程の文言の記載　3点"/>
    <m/>
    <m/>
    <m/>
  </r>
  <r>
    <x v="6"/>
    <x v="3"/>
    <n v="3"/>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6"/>
    <x v="3"/>
    <n v="4"/>
    <s v="11発災3日後12時"/>
    <s v="個別"/>
    <x v="2"/>
    <s v="発災3日後12時_x000a__x000a_営業担当経由で、防衛省から問い合わせが入ってきました。_x000a_「東京、神奈川、千葉、埼玉の臨時回線の準備はまだですか？」_x000a__x000a_現状の臨時回線開通の進捗状況については、終点側のアクセス回線の被災により空きがなく、今後2～3日程度かかることが見込まれるとNTT東日本から情報を入手しています。_x000a__x000a_あなたならどのような行動を行いますか？_x000a_何を使用し、何を行うか具体的に記述して下さい。_x000a__x000a_※評価対象コンピテンシー：情報収集力"/>
    <s v="お客様からの問合せ内容を全社へ共有し、対応状況の確認を実施する。_x000a__x000a_・全社の輪の中で、防衛省からの問合せ内容を共有し、サービス班に対応状況を確認する。"/>
    <m/>
    <m/>
    <s v="●"/>
    <s v="≪情報収集力≫_x000a_・アカウント営業を探して対応してもらおうとする　１点_x000a_・特定のお客さまへの対応について、自身が主管ではなかったとしても、混乱が生じている中で_x000a_　適切なルートへ誘導することができれば　２点_x000a_・復旧作業に従事するお客さまの回線復旧のため、最優先での対応が行えれば　３点_x000a_　（特定のユーザに特化した対応（迅速性）ができていればよい）_x000a_"/>
    <m/>
    <m/>
    <m/>
    <m/>
    <m/>
  </r>
  <r>
    <x v="6"/>
    <x v="3"/>
    <n v="5"/>
    <s v="11発災3日後12時"/>
    <s v="個別"/>
    <x v="2"/>
    <s v="発災3日後12時_x000a__x000a_自班のTeams会議で、各組織の班員から通信の復旧見込みについてお客様からの問い合わせが殺到している。と相談が上がっています。_x000a__x000a_お客様より復旧見込みの問い合わせを受けた際に、どのような手順で誰に何の確認を行いますか？_x000a__x000a_※評価対象コンピテンシー：情報収集力、計画力"/>
    <s v="呼出員として、サービス班における復旧計画を確認し、組織内の営業担当へ確認結果を展開する必要がある。_x000a__x000a_・現時点で全てのお客様に共通で回答できる内容を確認する。_x000a_　※ニュースリリースなどの公式なお知らせ情報の内容を確認する。_x000a_・お客様対応班事務局から展開されるサービス復旧計画及びお客様へ周知可能な範囲を確認する。_x000a_　※未展開の場合は、展開時期の目途を確認する。_x000a_・上記を組織内の営業担当へ展開する。"/>
    <m/>
    <m/>
    <s v="●"/>
    <s v="≪情報収集力≫_x000a_・お客さまからの問合せが来ていることを班内に共有する行動　1点_x000a_・とにかく記録に残す　1点_x000a_・班内の情報を確認、収集する行動までを実施　２点_x000a_・お客様の設置場所の被災状況を把握し、お客様との連携した復旧活動を班内で立案できる　　　2点_x000a_・班をまたがる情報収集行動を示して　３点_x000a_・アクセスラインの復旧状況の把握と、お客様の復旧状況から、復旧優先順を策定した提案をサービス班に行える　3点"/>
    <m/>
    <m/>
    <m/>
    <m/>
    <s v="●"/>
  </r>
  <r>
    <x v="6"/>
    <x v="3"/>
    <n v="6"/>
    <s v="13発災7日後12時"/>
    <s v="個別"/>
    <x v="2"/>
    <s v="発災3日後18時_x000a__x000a_復旧見込みの回答後、自班のTeams会議で、自身の被災が比較的軽い複数のお客様より早期復旧の依頼が殺到し始めました。_x000a__x000a_複数のお客様からの復旧依頼に対して、何を使用し、何を行うか具体的に記述して下さい。_x000a__x000a_※評価対象コンピテンシー：計画力"/>
    <s v="呼出員として、お客様対応班内の事務局へ復旧優先すべき対象の検討依頼を実施する必要がある。_x000a__x000a_・お客様対応班内へ早期復旧依頼の連絡を受けているお客様の情報を展開する。_x000a_・事前に取り決めた復旧優先順位に基づき、早期復旧を依頼するお客様をお客様対応班として決定する。_x000a_・お客様対応班として、サービス班及び情報統括班へ対象となるお客様リストと共に早期復旧依頼を実施する。"/>
    <m/>
    <m/>
    <m/>
    <m/>
    <m/>
    <m/>
    <m/>
    <m/>
    <s v="●"/>
  </r>
  <r>
    <x v="6"/>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から共有された内容に関して、お客様への影響内容の確認を実施する。_x000a__x000a_・情報統括班へ情報のソースを確認(総務省経由、NTTグループ経由等)_x000a_・情報統括班に対し計画停電エリアおよびスケジュールの確認依頼_x000a_・設備班に対し、通信ビルおよびDCへの影響確認_x000a_・サービス班内に向けて、計画停電時の各サービス影響確認を依頼"/>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7"/>
    <x v="3"/>
    <n v="1"/>
    <s v="10発災翌日18時"/>
    <s v="共通12"/>
    <x v="1"/>
    <s v="発災翌日18時_x000a__x000a_西日本初動本部から東京へ引継ぎが完了しました。_x000a_翌日９時に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
    <m/>
    <m/>
    <m/>
    <m/>
    <m/>
    <m/>
    <s v="●"/>
  </r>
  <r>
    <x v="7"/>
    <x v="3"/>
    <n v="2"/>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7"/>
    <x v="3"/>
    <n v="3"/>
    <s v="11発災3日後12時"/>
    <s v="個別"/>
    <x v="2"/>
    <s v="発災3日後12時_x000a__x000a_NTTグループ内の他社より、移動電源車の借用依頼がきました。_x000a__x000a_ご自身で検討や対応するもの、誰かに指示を出して依頼するもの等、具体的に教えて下さい。_x000a__x000a_※評価対象コンピテンシー：コミュニケーション力、想像・先読み力、計画力"/>
    <s v="首都圏外の移動電源車の使用予定を確認し、各エリアの救済駆付_x000a_状況を確認のうえ、貸し出しを許可する。但し、エスカレは実施。_x000a_また、急遽他エリアにて移動電源車が必要な状況となった場合は返却_x000a_必要の旨を通知する。_x000a__x000a_■回答例を要改善_x000a_受講者回答の方が、模範解答例としては適切か？_x000a_⇒回答としては問題ない（かなり細かいくらい）_x000a__x000a_現在運用している全国の移動電源車の状況並びに自社ビルに関する救済状況を再確認。_x000a_そのうえで、まだ未使用の移動電源車があり貸出しても自社対応に影響がないことが確認できれば貸出を実施する_x000a_また、貸出を実施することについて現地対応をしているAE社含め、自社の災害対応を実施している各方面へも情報共有を実施する。_x000a_ただし、急遽自社ビルに対しての救済が必要になった場合は返却をして頂く必要もあることを必ずお伝えする。_x000a_（借用費用については相互共有の契約書に基づき別途精算とする）"/>
    <s v="●"/>
    <s v="≪コミュニケーション力≫グループ全体での移動電源車オペレーションの検討が必要なことから、冷静なコミュニケーションが行えるか？_x000a_・指示/連絡をとる行動を示していたら(またはしようとしている)　１点_x000a_・補足が必要のないレベルで、班内で具体的な意思疎通ができていたら(またはしようとしている)　２点_x000a_・補足が必要のないレベルで、班間(委託先含めた社外）で具体的な意思疎通ができていたら(またはしようとしている)　３点"/>
    <m/>
    <m/>
    <m/>
    <m/>
    <s v="●"/>
    <s v="≪想像、先読み力≫大規模な災害であることから長期化することを想像できるか？_x000a_・事態の長期化を想定することできる　１点_x000a_・事態が長期化することを想定し、今できること指示ができる　２点_x000a_・事態が悪化することを想定し、２～４手まで想定できる（サービス中断発生）または、事態悪化を未然に防げる対応を提案できる　３点"/>
    <s v="●"/>
  </r>
  <r>
    <x v="7"/>
    <x v="3"/>
    <n v="4"/>
    <s v="11発災3日後12時"/>
    <s v="個別"/>
    <x v="2"/>
    <s v="発災3日後12時_x000a__x000a_設備班内から「停電復電時にビル内UPS1台についてバイパス給電となってます。」との報告がありました。_x000a__x000a_誰にどのような指示を出しますか？_x000a__x000a_※評価対象コンピテンシー：情報収集力、計画力"/>
    <s v="AEに状況確認、図面の提示を依頼_x000a_BALSにて対象負荷を確認_x000a_復旧に向けては審議済の手順書を提示してもらい、復旧時は随時連絡を受ける体制をとる_x000a_コロケに影響する場合はLJ側に状況を随時報告_x000a__x000a_■回答例を要改善_x000a_受講者回答の方が、模範解答例としては適切か？_x000a_⇒回答としては問題ない（かなり細かいくらい）_x000a__x000a_電力設備保守を委託しているAEに状況確認を依頼_x000a_TOCに負荷設備に影響が出ていないか確認を実施_x000a_自部署内ではBALSにて対象負荷を並行して再確認_x000a_AE社にUPSの配線図の提供を依頼_x000a_正常状態への復旧に向けて現地復旧体制の確立をAE社に依頼_x000a_その際UPSの給電切替が必要になることから、AE社に審議済みの切り替え手順書を受領し、復旧時は随時連絡を受ける体制をとる_x000a_コロケに影響する場合はLJ側に状況を随時報告"/>
    <m/>
    <m/>
    <s v="●"/>
    <s v="≪情報収集力≫トラブルが発生した状況であるため、冷静に対処方法の確認が行えるか？_x000a_・自身で事実の確認　１点_x000a_・班員を巻き込んで類似情報の有無の収集　２点_x000a_・委託先含め社外（危機管理室含む）への指示確認がとれ、情報収集　３点"/>
    <m/>
    <m/>
    <m/>
    <m/>
    <s v="●"/>
  </r>
  <r>
    <x v="7"/>
    <x v="3"/>
    <n v="5"/>
    <s v="13発災7日後12時"/>
    <s v="個別"/>
    <x v="2"/>
    <s v="発災3日後12時_x000a__x000a_設備班内から「中継ケーブル被災の仮復旧案を検討したが、ケーブルの仮復旧までには長期化の恐れがある。」との報告がありました。_x000a__x000a_誰にどのような指示を出しますか？_x000a__x000a_※評価対象コンピテンシー：想像・先読み力、計画力"/>
    <s v="設備班（伝送）へ情報共有_x000a_・仮復旧案を共有_x000a_・ケーブルによる復旧が困難（長期化）_x000a_・パス迂回検討を依頼　_x000a_・長期化したときのリスクとして非被災地での支障移転工事の把握（どんな影響がでるか想像する力は不要？）"/>
    <m/>
    <m/>
    <m/>
    <m/>
    <m/>
    <m/>
    <s v="●"/>
    <s v="≪想像、先読み力≫トラブルが発生した状況であるため、あらゆる場合を想定することができるか？_x000a_・事態の長期化を想定することできる　１点_x000a_・事態が長期化することを想定し、今できること指示ができる　２点_x000a_・事態が悪化することを想定し、２～４手まで想定できる（サービス中断発生）または、事態悪化を未然に防げる対応を提案できる　３点"/>
    <s v="●"/>
  </r>
  <r>
    <x v="7"/>
    <x v="3"/>
    <n v="6"/>
    <s v="13発災7日後12時"/>
    <s v="個別"/>
    <x v="2"/>
    <s v="発災7日後12時_x000a__x000a_設備班内から「順次パス切替は実施するが、全サービスの仮復旧までには長期化の恐れがある。」との報告がありました。_x000a__x000a_誰にどのような指示を出しますか？_x000a__x000a_※評価対象コンピテンシー：想像・先読み力、計画力"/>
    <s v="冗長化のサービス断リスク回避のため、RAへの反対系ルート巡回依頼_x000a_巡回点検の実施_x000a_非被災地での支障移転工事の把握_x000a_"/>
    <m/>
    <m/>
    <m/>
    <m/>
    <m/>
    <m/>
    <s v="●"/>
    <s v="≪想像、先読み力≫トラブルが発生した状況であるため、あらゆる場合を想定することができるか？_x000a_・事態の長期化を想定することできる　１点_x000a_・事態が長期化することを想定し、今できること指示ができる　２点_x000a_・事態が悪化することを想定し、２～４手まで想定できる（サービス中断発生）または、事態悪化を未然に防げる対応を提案できる　３点"/>
    <s v="●"/>
  </r>
  <r>
    <x v="7"/>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から共有された内容に関して、お客様への影響内容の確認を実施する。_x000a__x000a_・情報統括班へ情報のソースを確認(総務省経由、NTTグループ経由等)_x000a_・情報統括班に対し計画停電エリアおよびスケジュールの確認依頼_x000a_・設備班に対し、通信ビルおよびDCへの影響確認_x000a_・サービス班内に向けて、計画停電時の各サービス影響確認を依頼"/>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8"/>
    <x v="3"/>
    <n v="1"/>
    <s v="10発災翌日18時"/>
    <s v="共通12"/>
    <x v="1"/>
    <s v="発災翌日18時_x000a__x000a_西日本初動本部から東京へ引継ぎが完了しました。_x000a_翌日９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
    <m/>
    <m/>
    <m/>
    <m/>
    <m/>
    <m/>
    <s v="●"/>
  </r>
  <r>
    <x v="8"/>
    <x v="3"/>
    <n v="2"/>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8"/>
    <x v="3"/>
    <n v="3"/>
    <s v="11発災3日後12時"/>
    <s v="個別"/>
    <x v="2"/>
    <s v="発災3日後12時_x000a__x000a_ベンダからAribaNWログイン者が負傷し、オンラインで取引できない旨連絡がメールで受領しました。_x000a__x000a_あなたならどのような行動をとりますか？_x000a_何を使用し、何を行うか具体的に記述して下さい。_x000a__x000a_※評価対象コンピテンシー：情報収集力、計画力"/>
    <s v="ベンダの別メンバで対応可能か確認を行う。代替メンバがいない際はオフラインで取引する。"/>
    <m/>
    <m/>
    <s v="●"/>
    <s v="≪情報収集力≫得られた情報が過不足ないか、得られていない情報はないか、集められているか？_x000a_・自ら情報収集しようとしている　１点_x000a_・班内メンバへ指示をして、問題解決に必要な情報を収集している　２点_x000a_・先手先手で指示をして、問題解決に必要な情報を災対本部などで班内外から情報収集している　３点"/>
    <m/>
    <m/>
    <m/>
    <m/>
    <s v="●"/>
  </r>
  <r>
    <x v="8"/>
    <x v="3"/>
    <n v="4"/>
    <s v="11発災3日後12時"/>
    <s v="個別"/>
    <x v="2"/>
    <s v="発災3日後12時_x000a__x000a_設備班から、伝送路パス救済を行うための局内ケーブル部材がNTTドコモ側でも不足しており、対応が困難であるとの情報が班間連携のTeamsチャットで入りました。_x000a__x000a_あなたならどのような行動をとりますか？_x000a_何を使用し、何を行うか具体的に記述して下さい。_x000a__x000a_※評価対象コンピテンシー：コミュニケーション力、計画力"/>
    <s v="東西資材ラインに同様のケーブル貸与が可能か確認する。"/>
    <s v="●"/>
    <s v="≪コミュニケーション≫得られた情報を誰にコどのようなミュニケーションがとれるか？_x000a_・当情報を自身や周囲のメンバに展開　１点_x000a_・当情報を班内に展開し注意喚起を行う　２点_x000a_・当情報を班間に状況を共有し、他班への情報共有等さらにアクション（タイムリー性）をおこしていれば　３点_x000a_　または他社の在庫状況の確認を行う。"/>
    <m/>
    <m/>
    <m/>
    <m/>
    <m/>
    <m/>
    <s v="●"/>
  </r>
  <r>
    <x v="8"/>
    <x v="3"/>
    <n v="5"/>
    <s v="11発災3日後12時"/>
    <s v="個別"/>
    <x v="2"/>
    <s v="発災3日後12時_x000a__x000a_通信機器の納入メーカーから、工場が被災し発注分も落下破損し当面納品できない旨メール連絡がありました。_x000a__x000a_あなたならどのような行動をとりますか？_x000a_何を使用し、何を行うか具体的に記述して下さい。_x000a__x000a_※評価対象コンピテンシー：コミュニケーション力、計画力"/>
    <s v="危機管理DBに登録する_x000a_各班情報連携用の設備班、お客様班窓口に当該情報をアップデートした旨、連絡する。"/>
    <s v="●"/>
    <s v="≪コミュニケーション≫得られた情報を誰にコどのようなミュニケーションがとれるか？_x000a_・当情報を自身や周囲のメンバに展開　１点_x000a_・当情報を班内に展開し注意喚起を行う　２点_x000a_・当情報を班間に状況を共有し、他班への情報共有等さらにアクション（タイムリー性）をおこしていれば　３点_x000a_　または他社の在庫状況の確認を行う。"/>
    <m/>
    <m/>
    <m/>
    <m/>
    <m/>
    <m/>
    <s v="●"/>
  </r>
  <r>
    <x v="8"/>
    <x v="3"/>
    <n v="6"/>
    <s v="13発災7日後12時"/>
    <s v="個別"/>
    <x v="2"/>
    <s v="発災7日後12時_x000a__x000a_主要メーカ・サプライヤの製品が調達できないことが判明しました。_x000a__x000a_あなたならどのような行動をとりますか？_x000a_何を使用し、何を行うか具体的に記述して下さい。_x000a__x000a_※評価対象コンピテンシー：コミュニケーション力、計画力"/>
    <s v="代替メーカで対応が可能か、他グループ会社で予備物品を保管していないか確認する"/>
    <s v="●"/>
    <s v="≪コミュニケーション≫得られた情報を誰にコどのようなミュニケーションがとれるか？_x000a_・当情報を自身や周囲のメンバに展開　１点_x000a_・当情報を班内に展開し注意喚起を行う　２点_x000a_・当情報を班間に状況を共有し、他班への情報共有等さらにアクション（タイムリー性）をおこしていれば　３点_x000a_　または他社の在庫状況の確認を行う。"/>
    <m/>
    <m/>
    <m/>
    <m/>
    <m/>
    <m/>
    <s v="●"/>
  </r>
  <r>
    <x v="8"/>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から共有された内容に関して、お客様への影響内容の確認を実施する。_x000a__x000a_・情報統括班へ情報のソースを確認(総務省経由、NTTグループ経由等)_x000a_・情報統括班に対し計画停電エリアおよびスケジュールの確認依頼_x000a_・設備班に対し、通信ビルおよびDCへの影響確認_x000a_・サービス班内に向けて、計画停電時の各サービス影響確認を依頼"/>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9"/>
    <x v="3"/>
    <n v="1"/>
    <s v="10発災翌日18時"/>
    <s v="共通12"/>
    <x v="1"/>
    <s v="発災翌日18時_x000a__x000a_西日本初動本部から東京へ引継ぎが完了しました。_x000a_翌日９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
    <m/>
    <m/>
    <m/>
    <m/>
    <m/>
    <m/>
    <s v="●"/>
  </r>
  <r>
    <x v="9"/>
    <x v="3"/>
    <n v="2"/>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9"/>
    <x v="3"/>
    <n v="3"/>
    <s v="11発災3日後12時"/>
    <s v="個別"/>
    <x v="2"/>
    <s v="発災3日後12時_x000a__x000a_マイクロソフト社の認証を詐称し「地震に伴うアカウントの有効性確認実施」としてクレデンシャルの入力を指示する攻撃メールを、多数の社員が受信したとの報告が入りました。_x000a__x000a_あなたならどのような行動をとりますか？_x000a_何を使用し、何を行うか具体的に記述して下さい。_x000a__x000a_※評価対象コンピテンシー：情報分析力、計画力"/>
    <s v="【ファイル開封無/リンクへのアクセス無】_x000a_ ・申告者/組織に依頼し、該当メールの検体を入手_x000a_ ・該当メールの送信者、件名、本文、添付ファイル有無の確認(有の場合はハッシュ取得とファイルを確保)を取得_x000a_ ・取得した送信者、件名、本文、添付ファイル有無を整理し、KMポータルに注意喚起実施_x000a_ ・取得した送信者、件名でMS365でメール受信拒否を設定およびメール隔離を実施_x000a_ ・取得した添付ファイルの解析を行い、悪性有無を判定_x000a__x000a_【参考】ファイルが悪性の場合_x000a_ ・取得した送信者、件名、本文をもとにメールLogを調査し受信者を把握、把握した受信者に開封有無とメール破棄を依頼_x000a_ ・MDE等で添付ファイルのハッシュを検索し、開封状況を調査　"/>
    <m/>
    <m/>
    <m/>
    <m/>
    <s v="●"/>
    <s v="≪情報分析力≫_x000a_・なんとか自分自身で情報分析を行う行動　１点_x000a_・班内メンバを通して事実の確認を行う　２点_x000a_・災対本部など、班間でのサポートを要請（注意喚起）する等の行動を起こす　３点"/>
    <m/>
    <m/>
    <s v="●"/>
  </r>
  <r>
    <x v="9"/>
    <x v="3"/>
    <n v="4"/>
    <s v="11発災3日後12時"/>
    <s v="個別"/>
    <x v="2"/>
    <s v="発災3日後12時_x000a__x000a_社員より、「NTTドコモビジネス子会社の財務担当役員名で、復旧に必要な資金の一時的なショートの回避の為に、至急、指定した口座に2億円を振り込んで欲しい旨の、メール及び電話での依頼があった。」との連絡が入りました。_x000a__x000a_あなたならどのような行動をとりますか？_x000a_何を使用し、何を行うか具体的に記述して下さい。_x000a__x000a_※評価対象コンピテンシー：情報分析力、計画力"/>
    <s v="【開封/リンクアクセス無】_x000a_ ・申告者/組織に依頼し、該当メールの検体を入手_x000a_ ・該当メールの送信者、件名、本文、添付ファイル有無の確認(有の場合はハッシュ取得とファイルを確保)を取得_x000a_ ・グループ幹部を詐称し資金提供を要求する詐欺メール/電話の事案が発生している事の連絡/注意喚起を実施_x000a_ ・取得した送信者、件名、本文、添付ファイル有無を整理し、KMポータルに注意喚起実施_x000a_ ・取得した送信者、件名でMS365でメール受信拒否を設定およびメール隔離を実施_x000a_ ・取得した添付ファイルの解析を行い、悪性有無を判定_x000a__x000a_【悪性の場合】_x000a_ ・取得した送信者、件名、本文をもとにメールLogを調査し受信者を把握、把握した受信者に開封有無とメール破棄を依頼_x000a_ ・MDE等で添付ファイルのハッシュを検索し、開封状況を調査"/>
    <m/>
    <m/>
    <m/>
    <s v="≪情報分析力≫_x000a_・なんとか自分自身で情報分析を行う行動　１点_x000a_・班内メンバを通して事実の確認を行う　２点_x000a_・災対本部など、班間でのサポートを要請（注意喚起）する等の行動を起こす　３点_x000a__x000a_≪計画力≫_x000a_・自分自身でできる対応を検討する記載　１点_x000a_・周囲の班員でできる対応を検討する記載　２点_x000a_・既存ルールの有無に限らず柔軟に他組織への協力依頼を行い、注意喚起をする等対応を計画する記載があれば　３点"/>
    <s v="●"/>
    <s v="≪情報分析力≫_x000a_・なんとか自分自身で情報分析を行う行動　１点_x000a_・班内メンバを通して事実の確認を行う　２点_x000a_・災対本部など、班間でのサポートを要請（注意喚起）する等の行動を起こす　３点"/>
    <m/>
    <m/>
    <s v="●"/>
  </r>
  <r>
    <x v="9"/>
    <x v="3"/>
    <n v="5"/>
    <s v="13発災7日後12時"/>
    <s v="個別"/>
    <x v="2"/>
    <s v="発災7日後12時_x000a__x000a_NTT Securityより、「攻撃グループがNTTドコモビジネスのシステムをランサムウエアに感染させ、その証拠として一部のファイルをアップロードしている旨をテレグラム上でポストしている」ことをサイバーインテリジェンスベンダ(Recorded Future)が見つけたとの連絡がありました。_x000a__x000a_あなたならどのような行動をとりますか？_x000a_何を使用し、何を行うか具体的に記述して下さい。_x000a__x000a_※評価対象コンピテンシー：計画力"/>
    <s v="【漏洩事実無】_x000a_ ・社内組織（SMライン）へのランサム感染有無の確認依頼_x000a_ ・該当の漏洩に関する情報収集強化による真偽確認（班内およびNTT-CERTへの依頼）_x000a_ ・広報班への連絡並びに報道対応要否の検討依頼_x000a_ ・社外の情報拡散状況を踏まえた、情報統括班、幹部（DCC含む）並びに持株へのエスカレ実施_x000a__x000a_【参考】漏洩発生時の対応_x000a_ ・漏洩したとされている情報（ファイル）の入手の調整と入手時の解析実施（CERT及び自社対応）_x000a_ ・入手したファイルの解析による情報漏洩有無の把握_x000a_ ・身代金支払に関する実施可否検討/判断_x000a_ ・確認された漏洩情報に基づく社外対応（NR対応、省庁報告等）検討及び幹部報告検討"/>
    <m/>
    <m/>
    <m/>
    <m/>
    <m/>
    <m/>
    <m/>
    <m/>
    <s v="●"/>
  </r>
  <r>
    <x v="9"/>
    <x v="3"/>
    <n v="6"/>
    <s v="13発災7日後12時"/>
    <s v="個別"/>
    <x v="2"/>
    <s v="発災7日後12時_x000a__x000a_持株会社より、「政府機関との関連が疑われる攻撃アクターによる日本国内の通信キャリアに対する攻撃が計画されている模様」との情報を政府機関から入手したの連絡が入りました。_x000a__x000a_あなたならどのような行動をとりますか？_x000a_何を使用し、何を行うか具体的に記述して下さい。_x000a__x000a_※評価対象コンピテンシー：想像・先読み力、計画力"/>
    <s v="【自社への攻撃発生無】_x000a_ ・情報統括班およびサービス班への情報共有と警戒強化並びに異常時の報告依頼実施_x000a_ ・NTT Comに対する攻撃に関する情報収集強化（班内対応及びNTT-CERTへ依頼）"/>
    <m/>
    <m/>
    <m/>
    <m/>
    <m/>
    <m/>
    <s v="●"/>
    <s v="≪想像、先読み力≫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9"/>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から共有された内容に関して、お客様への影響内容の確認を実施する。_x000a__x000a_・情報統括班へ情報のソースを確認(総務省経由、NTTグループ経由等)_x000a_・情報統括班に対し計画停電エリアおよびスケジュールの確認依頼_x000a_・設備班に対し、通信ビルおよびDCへの影響確認_x000a_・サービス班内に向けて、計画停電時の各サービス影響確認を依頼"/>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10"/>
    <x v="3"/>
    <n v="1"/>
    <s v="10発災翌日18時"/>
    <s v="共通12"/>
    <x v="1"/>
    <s v="発災翌日18時_x000a__x000a_西日本初動本部から東京へ引継ぎが完了しました。_x000a_翌日9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
    <m/>
    <m/>
    <m/>
    <m/>
    <m/>
    <m/>
    <s v="●"/>
  </r>
  <r>
    <x v="10"/>
    <x v="3"/>
    <n v="2"/>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10"/>
    <x v="3"/>
    <n v="3"/>
    <s v="11発災3日後12時"/>
    <s v="個別"/>
    <x v="2"/>
    <s v="発災翌日9時_x000a__x000a_Teamsやメールは継続して利用できなくなるのでは？と個別の問い合わせをメールで受信しました。_x000a__x000a_あなたならどのような行動をとりますか？_x000a_何を使用し、何を行うか具体的に記述して下さい。_x000a__x000a_※評価対象コンピテンシー：情報収集力"/>
    <s v="・社内システム班としての防備すべきシステムの信頼性の把握"/>
    <m/>
    <m/>
    <s v="●"/>
    <s v="≪情報収集力≫_x000a_・個人見解で回答　1点_x000a_・班内メンバへ共有し、班として回答　　2点_x000a_・班内メンバへ共有し、班として回答＋回答内容＝万が一の代替え手段のシステムやその有無を確認した上で回答。全社に対してもその内容を共有。　3点"/>
    <m/>
    <m/>
    <m/>
    <m/>
    <m/>
  </r>
  <r>
    <x v="10"/>
    <x v="3"/>
    <n v="4"/>
    <s v="12発災3日後18時"/>
    <s v="個別"/>
    <x v="2"/>
    <s v="発災3日後18時_x000a__x000a_Teamsが非常につながりにくい状況で、Web会議が利用できない状態となっています。_x000a__x000a_あなたならどのような行動をとりますか？_x000a_何を使用し、何を行うか具体的に記述して下さい。_x000a__x000a_※評価対象コンピテンシー：計画力"/>
    <s v="・代替策の提案_x000a_　Web会議の場合：、WebEX/NeWorkなど_x000a_　チャットの場合：elgana_x000a_"/>
    <m/>
    <m/>
    <m/>
    <m/>
    <m/>
    <m/>
    <m/>
    <m/>
    <s v="●"/>
  </r>
  <r>
    <x v="10"/>
    <x v="3"/>
    <n v="5"/>
    <s v="13発災7日後12時"/>
    <s v="個別"/>
    <x v="2"/>
    <s v="発災7日後12時_x000a__x000a_A拠点の社内NWから社外にファイル持出の疑いがあるログが検知されました。_x000a__x000a_あなたならどのような行動をとりますか？_x000a_何を使用し、何を行うか具体的に記述して下さい。_x000a__x000a_※評価対象コンピテンシー：情報収集力"/>
    <s v="アクセスログの確認"/>
    <m/>
    <m/>
    <s v="●"/>
    <s v="≪情報収集力≫_x000a_・自身で確認する　１点_x000a_・班内巻き込んで事実確認　２点_x000a_・班間巻き込んで情報収集　３点_x000a_メモ_x000a_セキュリティ系の対処（全社）への報告体制確立ができている　3点"/>
    <m/>
    <m/>
    <m/>
    <m/>
    <m/>
  </r>
  <r>
    <x v="10"/>
    <x v="3"/>
    <n v="6"/>
    <s v="13発災7日後12時"/>
    <s v="個別"/>
    <x v="2"/>
    <s v="発災7日後12時_x000a__x000a_最終的なシステムの復旧が完了した後にあなたはどのような行動をとりますか？_x000a__x000a_何を使用し、何を行うか具体的に記述して下さい。_x000a__x000a_※評価対象コンピテンシー：計画力"/>
    <s v="システムの復旧だけでなく、その間に溜まった業務のバックログの解消、折衷案で運用していた業務の正規ルートへの戻し、さらなる問題点の洗い出し、復旧後のシステムのパフォーマンスチェックなど_x000a_"/>
    <m/>
    <m/>
    <m/>
    <m/>
    <m/>
    <m/>
    <m/>
    <m/>
    <s v="●"/>
  </r>
  <r>
    <x v="10"/>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へ情報のソースを確認(総務省経由、NTTグループ経由等)_x000a_・情報統括班に対し計画停電エリアおよびスケジュールの確認依頼をするとともに、コムG各社への情報連携に関して検討"/>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本部員/班員の影響、業務影響 等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r>
    <x v="11"/>
    <x v="3"/>
    <n v="1"/>
    <s v="10発災翌日18時"/>
    <s v="共通12"/>
    <x v="1"/>
    <s v="発災翌日18時_x000a__x000a_西日本初動本部から東京へ引継ぎが完了しました。_x000a_翌日９時に全社の災害対策本部会議が開催されます。_x000a__x000a_あなたならどのような行動をとりますか？_x000a_何を使用し、何を行うか具体的に記述して下さい。_x000a__x000a_※評価対象コンピテンシー：コミュニケーション力、計画力"/>
    <s v="現在の班内状況と翌日9時の状況を想定して、整理を行う。_x000a_また、班内で活動可能なメンバを募り、社内システムの稼働状況を確認する"/>
    <s v="●"/>
    <s v="≪コミュニケーション力≫_x000a_活動可能な班員への指示を行い、社内システムの稼働状況の収集_x000a_班員の復活状況の確認"/>
    <m/>
    <m/>
    <m/>
    <m/>
    <m/>
    <m/>
    <s v="●"/>
  </r>
  <r>
    <x v="11"/>
    <x v="3"/>
    <n v="2"/>
    <s v="発災3日目8時"/>
    <s v="個別"/>
    <x v="2"/>
    <s v="発災3日目8時_x000a__x000a_総務省より被災状況の詳細と復旧目途について問い合わせがありました。_x000a__x000a_基幹ケーブルの復旧については、現地の立入りができない状況で、まだ回復の目途が立っていません。パス救済も人員が揃わず難航しています。また、アクセス回線の被災も相当量の警報が上がっており、罹災回線の洗い出しが難航しています。_x000a__x000a_どのように回答しますか？_x000a__x000a_※評価対象コンピテンシー：コミュニケーション力、情報収集力、計画力"/>
    <s v="復旧措置が難航している部分について、総務省を通じて支援（道路啓開、通行禁止区間の通行許可等）を依頼する。_x000a_そのうえで、現状の状況をケーブル復旧、パス救済、など、1人称で行える復旧措置について報告を行う。_x000a__x000a_"/>
    <s v="●"/>
    <s v="≪コミュニケーション力≫_x000a_中継ルートについて、回線レベルでの想定にて会話が進むため、齟齬なしに口頭また、図示した上て報告を行う"/>
    <s v="●"/>
    <s v="≪情報収集力≫_x000a_国側の対応状況についても、総務省からの情報を引き出す"/>
    <m/>
    <m/>
    <m/>
    <m/>
    <s v="●"/>
  </r>
  <r>
    <x v="11"/>
    <x v="3"/>
    <n v="3"/>
    <s v="11発災3日後12時"/>
    <s v="共通13"/>
    <x v="1"/>
    <s v="発災3日後12時_x000a__x000a_自班のTeamsチャットにて「発災時より復旧対応している班員が、目に見えて疲弊している」という情報が入ってきました。_x000a__x000a_・公共交通機関の稼働状況は50％程度_x000a_・周辺コンビニの食料は売り切れ_x000a__x000a_あなたならどのような行動をとりますか？_x000a_何を使用し、何を行うか具体的に記述して下さい。_x000a__x000a_※評価対象コンピテンシー：情報収集力、計画力"/>
    <s v="拠点ごとの交代要員の確保状況、食料等の必要物資の確認_x000a_総務厚生班と連携し、手配依頼。"/>
    <s v="●"/>
    <s v="≪コミュニケーション≫相手に寄り添う姿勢が見られるか？_x000a_・周囲のメンバの状況確認のみ実施　１点（自らコミュニケーション、一方向のコミュニケーション）_x000a_・相手に寄り添いながら、周囲の状況確認を行っている　２点（双方向のコミュニケーション）_x000a_・班内で連携してコミュニケーションをとる体制を指示している　２点　（組織としてのコミュニケーション）_x000a_・相手に寄り添いながら班内で連携してコミュニケーションをとっている、班間や対策本部に状況を共有している　３点（双方向、組織を意思したコミュニケーション）"/>
    <s v="●"/>
    <s v="≪情報収集力≫自班に限らず全社に目を向けて情報収集・発信ができるか？_x000a_・班員が疲弊していることを班内に共有する行動　1点_x000a_・班内のリソース状況等の情報を確認、収集する行動で　２点_x000a_・班をまたがる情報収集行動を示して　３点_x000a_・班内全体を把握し、総務厚生側の食料確保状況の収集　3点_x000a_※班員を含めた人、時間軸（いつまでもつのか？）、集めたい情報の範囲（自班、他班含めた全体か？・世の中：避難所に物資をとりにいく）"/>
    <m/>
    <m/>
    <m/>
    <m/>
    <s v="●"/>
  </r>
  <r>
    <x v="11"/>
    <x v="3"/>
    <n v="4"/>
    <s v="発災3日目15時"/>
    <s v="個別"/>
    <x v="2"/>
    <s v="発災3日目15時_x000a__x000a_NTT東日本災害対策室から、広域停電によるビル給電の燃料枯渇救済に向けて燃料枯渇ビル情報が上がってきました。その中には基幹ルート（東海道ルート、中央道ルート）が含まれています。_x000a__x000a_対応策について、社内協議及びNTTドコモ、持株会社、NTT東日本との協議をどのように行いますか？_x000a__x000a_※評価対象コンピテンシー：コミュニケーション力、情報収集力、想像・先読み力、計画力"/>
    <s v="政府の燃料調達を要求できるか？_x000a__x000a_設備サービス班に、東海道、中央ルートにて両系断となった場合のリスクの洗い出しを指示する。_x000a_広報班には、両系断とな他場合のマスコミ対応の事前準備を指示する_x000a_N東には、予想停電時刻及び、復電予想時間等、詳細を確認し、両系断となる時刻の割り出しを行う。また、設備サービス班から報告のあるリスクに対して説明を行い、優先順を持ち上げてもらう依頼を行う"/>
    <s v="●"/>
    <s v="≪コミュニケーション力≫_x000a_社内は指示、他社は依頼での対応となるため、短時間で密度のある対応が必要"/>
    <s v="●"/>
    <s v="≪情報収集力≫_x000a_断片的な情報から、想定される状況を加味して、今後の状況の情報を収集する"/>
    <m/>
    <m/>
    <s v="●"/>
    <s v="≪想像、先読み力≫_x000a_両系断にも、様々な状況の想定ができるか？想定した上で、状況のシミュレーションが行えるか？"/>
    <s v="●"/>
  </r>
  <r>
    <x v="11"/>
    <x v="3"/>
    <n v="5"/>
    <s v="発災5日目9時"/>
    <s v="個別"/>
    <x v="2"/>
    <s v="発災5日目9時_x000a__x000a_フロント営業から個別の復旧依頼が来ています。（航空局、郵政、コンビニ、・・・・）_x000a__x000a_あなたならどのような行動をとりますか？_x000a_何を使用し、何を行うか具体的に記述して下さい。_x000a__x000a_※評価対象コンピテンシー：コミュニケーション力、情報分析力、計画力"/>
    <s v="客対班事務局にとりまとめ指示が出せるか？_x000a__x000a_復旧優先順位及び、現地対応者有無を含め効率的に復旧活動が行えるよう、復旧優先順位を明示した、復旧要望リストの作成指示を行う_x000a_所定のフォーマットを活用し、優先順位を付けた上で情報を出してもらう_x000a_営業からB省の臨時回線が構築されていない旨が上がってきた（B省臨時回線依頼のダブルパンチ）"/>
    <s v="●"/>
    <s v="≪コミュニケーション力≫_x000a_情報の一本化を指示する。また、報告メール等利用して、現在開かれている窓口を案内する"/>
    <m/>
    <m/>
    <s v="●"/>
    <s v="《情報分析》_x000a_個別復旧依頼が、直接入っている状況の分析が行えるか？（何かしらで滞っているものがあるのか？）"/>
    <m/>
    <m/>
    <s v="●"/>
  </r>
  <r>
    <x v="11"/>
    <x v="3"/>
    <n v="6"/>
    <s v="発災6日目_x000a_12時"/>
    <s v="個別"/>
    <x v="2"/>
    <s v="発災6日目12時_x000a__x000a_NTTドコモビジネスの被害は復旧したが、関東エリアのアクセスラインの被害が甚大です。営業からのお客様要望に基づいて派遣要望を出していますが、お客様不在でのNTT東日本のアクセスラインの無効派遣が増えています。_x000a__x000a_あなたならどのような行動をとりますか？_x000a_何を使用し、何を行うか具体的に記述して下さい。_x000a__x000a_※評価対象コンピテンシー：コミュニケーション力、情報収集力、想像・先読み力"/>
    <s v="無効派遣をどう撲滅させるか？3.11では実際にお客さんは現地いるのか、復旧要望回線リストを1件1件確認してから東に要望した。不在の場合は、本当に復旧が必要か確認する。_x000a__x000a_お客様での確認が難航するようであれば、実際に設場確認を行うメンバを集い、現地調査・確認班の立ち上げも視野にいれ、無効派遣とならないよう、お客さま対応班へ指示を行う。"/>
    <s v="●"/>
    <s v="≪コミュニケーション力≫_x000a_社内は指示、他社は依頼での対応となるため、短時間で密度のある対応が必要_x000a_"/>
    <s v="●"/>
    <s v="≪情報収集力≫_x000a_どれくらいの無効派遣が発生しているか、N東　TOC含め確認を行う"/>
    <m/>
    <m/>
    <s v="●"/>
    <s v="≪想像、先読み力≫_x000a_無効派遣は行われないようにするには、どのような策が効率的か想定する"/>
    <m/>
  </r>
  <r>
    <x v="11"/>
    <x v="3"/>
    <n v="7"/>
    <s v="13発災7日後12時"/>
    <s v="共通14"/>
    <x v="1"/>
    <s v="発災7日後12時_x000a__x000a_「東京電力が計画停電を3日後から実施する」という情報が参加中の全社情報共有の会議で情報統括班から流れて来ました。_x000a__x000a_あなたならどのような行動を行いますか？_x000a_何を使用し、何を行うか具体的に記述して下さい。_x000a__x000a_※評価対象コンピテンシー：情報分析力、想像・先読み力、計画力"/>
    <s v="・情報統括班へ情報のソースを確認(総務省経由、NTTグループ経由等)_x000a_・情報統括班に対し計画停電エリアおよびスケジュールの確認依頼をするとともに、コムG各社への情報連携に関して検討"/>
    <m/>
    <m/>
    <m/>
    <m/>
    <s v="●"/>
    <s v="≪情報分析力≫本部員/班員の影響、業務影響 等_x000a_・計画停電に伴う、サービスまたは他のサービスへの影響を分析する記載で　１点_x000a_・計画停電に伴う、サービスと他のサービスへの影響を分析する記載で　２点_x000a_・サービスや設備への影響を想定し、行動にうつしていれば　３点"/>
    <s v="●"/>
    <s v="≪想像、先読み力≫　計画停電の長期化も視野に入れた想像ができるか？本部員/班員の影響、業務影響 等_x000a_・次に起こる事を想定しようとしている　１点_x000a_・次に起こる事を想定して、今できることを検討している　２点_x000a_・災害対応の全体像を見据えた上で次に起こる事を想定して、具体的に対応や予防策を検討している　３点"/>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1A131-6288-41DD-89E1-CA2421460B89}" name="ピボットテーブル10"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T20:AY31" firstHeaderRow="0" firstDataRow="1" firstDataCol="1" rowPageCount="2" colPageCount="1"/>
  <pivotFields count="17">
    <pivotField axis="axisRow" showAll="0">
      <items count="13">
        <item x="1"/>
        <item x="2"/>
        <item x="3"/>
        <item x="4"/>
        <item x="5"/>
        <item x="6"/>
        <item x="7"/>
        <item x="8"/>
        <item x="9"/>
        <item x="10"/>
        <item x="11"/>
        <item x="0"/>
        <item t="default"/>
      </items>
    </pivotField>
    <pivotField axis="axisPage" showAll="0">
      <items count="5">
        <item x="1"/>
        <item x="2"/>
        <item x="3"/>
        <item x="0"/>
        <item t="default"/>
      </items>
    </pivotField>
    <pivotField showAll="0"/>
    <pivotField showAll="0"/>
    <pivotField showAll="0"/>
    <pivotField axis="axisPage" showAll="0">
      <items count="4">
        <item x="1"/>
        <item x="2"/>
        <item x="0"/>
        <item t="default"/>
      </items>
    </pivotField>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s>
  <rowFields count="1">
    <field x="0"/>
  </rowFields>
  <rowItems count="11">
    <i>
      <x v="1"/>
    </i>
    <i>
      <x v="2"/>
    </i>
    <i>
      <x v="3"/>
    </i>
    <i>
      <x v="4"/>
    </i>
    <i>
      <x v="5"/>
    </i>
    <i>
      <x v="6"/>
    </i>
    <i>
      <x v="7"/>
    </i>
    <i>
      <x v="8"/>
    </i>
    <i>
      <x v="9"/>
    </i>
    <i>
      <x v="10"/>
    </i>
    <i t="grand">
      <x/>
    </i>
  </rowItems>
  <colFields count="1">
    <field x="-2"/>
  </colFields>
  <colItems count="5">
    <i>
      <x/>
    </i>
    <i i="1">
      <x v="1"/>
    </i>
    <i i="2">
      <x v="2"/>
    </i>
    <i i="3">
      <x v="3"/>
    </i>
    <i i="4">
      <x v="4"/>
    </i>
  </colItems>
  <pageFields count="2">
    <pageField fld="1" item="2" hier="-1"/>
    <pageField fld="5" item="1" hier="-1"/>
  </pageFields>
  <dataFields count="5">
    <dataField name="個数 / ｺﾐｭﾆｹｰｼｮﾝ" fld="8" subtotal="count" baseField="0" baseItem="0"/>
    <dataField name="個数 / 情報収集" fld="10" subtotal="count" baseField="0" baseItem="0"/>
    <dataField name="個数 / 情報分析" fld="12" subtotal="count" baseField="0" baseItem="0"/>
    <dataField name="個数 / 想像・先読み" fld="14" subtotal="count" baseField="0" baseItem="0"/>
    <dataField name="個数 / 計画"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254A74-016F-498A-AC84-BC04D84A3253}" name="ピボットテーブル9"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T4:AY15" firstHeaderRow="0" firstDataRow="1" firstDataCol="1" rowPageCount="2" colPageCount="1"/>
  <pivotFields count="17">
    <pivotField axis="axisRow" showAll="0">
      <items count="13">
        <item x="1"/>
        <item x="2"/>
        <item x="3"/>
        <item x="4"/>
        <item x="5"/>
        <item x="6"/>
        <item x="7"/>
        <item x="8"/>
        <item x="9"/>
        <item x="10"/>
        <item x="11"/>
        <item x="0"/>
        <item t="default"/>
      </items>
    </pivotField>
    <pivotField axis="axisPage" showAll="0">
      <items count="5">
        <item x="1"/>
        <item x="2"/>
        <item x="3"/>
        <item x="0"/>
        <item t="default"/>
      </items>
    </pivotField>
    <pivotField showAll="0"/>
    <pivotField showAll="0"/>
    <pivotField showAll="0"/>
    <pivotField axis="axisPage" showAll="0">
      <items count="4">
        <item x="1"/>
        <item x="2"/>
        <item x="0"/>
        <item t="default"/>
      </items>
    </pivotField>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s>
  <rowFields count="1">
    <field x="0"/>
  </rowFields>
  <rowItems count="11">
    <i>
      <x v="1"/>
    </i>
    <i>
      <x v="2"/>
    </i>
    <i>
      <x v="3"/>
    </i>
    <i>
      <x v="4"/>
    </i>
    <i>
      <x v="5"/>
    </i>
    <i>
      <x v="6"/>
    </i>
    <i>
      <x v="7"/>
    </i>
    <i>
      <x v="8"/>
    </i>
    <i>
      <x v="9"/>
    </i>
    <i>
      <x v="10"/>
    </i>
    <i t="grand">
      <x/>
    </i>
  </rowItems>
  <colFields count="1">
    <field x="-2"/>
  </colFields>
  <colItems count="5">
    <i>
      <x/>
    </i>
    <i i="1">
      <x v="1"/>
    </i>
    <i i="2">
      <x v="2"/>
    </i>
    <i i="3">
      <x v="3"/>
    </i>
    <i i="4">
      <x v="4"/>
    </i>
  </colItems>
  <pageFields count="2">
    <pageField fld="1" item="2" hier="-1"/>
    <pageField fld="5" item="0" hier="-1"/>
  </pageFields>
  <dataFields count="5">
    <dataField name="個数 / ｺﾐｭﾆｹｰｼｮﾝ" fld="8" subtotal="count" baseField="0" baseItem="0"/>
    <dataField name="個数 / 情報収集" fld="10" subtotal="count" baseField="0" baseItem="0"/>
    <dataField name="個数 / 情報分析" fld="12" subtotal="count" baseField="0" baseItem="0"/>
    <dataField name="個数 / 想像・先読み" fld="14" subtotal="count" baseField="0" baseItem="0"/>
    <dataField name="個数 / 計画"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8A04D7-A9E8-42F2-8495-0E8AAE3E4D86}" name="ピボットテーブル8"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F20:AK31" firstHeaderRow="0" firstDataRow="1" firstDataCol="1" rowPageCount="2" colPageCount="1"/>
  <pivotFields count="17">
    <pivotField axis="axisRow" showAll="0">
      <items count="13">
        <item x="1"/>
        <item x="2"/>
        <item x="3"/>
        <item x="4"/>
        <item x="5"/>
        <item x="6"/>
        <item x="7"/>
        <item x="8"/>
        <item x="9"/>
        <item x="10"/>
        <item x="11"/>
        <item x="0"/>
        <item t="default"/>
      </items>
    </pivotField>
    <pivotField axis="axisPage" showAll="0">
      <items count="5">
        <item x="1"/>
        <item x="2"/>
        <item x="3"/>
        <item x="0"/>
        <item t="default"/>
      </items>
    </pivotField>
    <pivotField showAll="0"/>
    <pivotField showAll="0"/>
    <pivotField showAll="0"/>
    <pivotField axis="axisPage" showAll="0">
      <items count="4">
        <item x="1"/>
        <item x="2"/>
        <item x="0"/>
        <item t="default"/>
      </items>
    </pivotField>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s>
  <rowFields count="1">
    <field x="0"/>
  </rowFields>
  <rowItems count="11">
    <i>
      <x v="1"/>
    </i>
    <i>
      <x v="2"/>
    </i>
    <i>
      <x v="3"/>
    </i>
    <i>
      <x v="4"/>
    </i>
    <i>
      <x v="5"/>
    </i>
    <i>
      <x v="6"/>
    </i>
    <i>
      <x v="7"/>
    </i>
    <i>
      <x v="8"/>
    </i>
    <i>
      <x v="9"/>
    </i>
    <i>
      <x v="10"/>
    </i>
    <i t="grand">
      <x/>
    </i>
  </rowItems>
  <colFields count="1">
    <field x="-2"/>
  </colFields>
  <colItems count="5">
    <i>
      <x/>
    </i>
    <i i="1">
      <x v="1"/>
    </i>
    <i i="2">
      <x v="2"/>
    </i>
    <i i="3">
      <x v="3"/>
    </i>
    <i i="4">
      <x v="4"/>
    </i>
  </colItems>
  <pageFields count="2">
    <pageField fld="1" item="1" hier="-1"/>
    <pageField fld="5" item="1" hier="-1"/>
  </pageFields>
  <dataFields count="5">
    <dataField name="個数 / ｺﾐｭﾆｹｰｼｮﾝ" fld="8" subtotal="count" baseField="0" baseItem="0"/>
    <dataField name="個数 / 情報収集" fld="10" subtotal="count" baseField="0" baseItem="0"/>
    <dataField name="個数 / 情報分析" fld="12" subtotal="count" baseField="0" baseItem="0"/>
    <dataField name="個数 / 想像・先読み" fld="14" subtotal="count" baseField="0" baseItem="0"/>
    <dataField name="個数 / 計画"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3A2B75-E1CD-4EBD-AC7D-67F5D6B26869}" name="ピボットテーブル7"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F4:AK15" firstHeaderRow="0" firstDataRow="1" firstDataCol="1" rowPageCount="2" colPageCount="1"/>
  <pivotFields count="17">
    <pivotField axis="axisRow" showAll="0">
      <items count="13">
        <item x="1"/>
        <item x="2"/>
        <item x="3"/>
        <item x="4"/>
        <item x="5"/>
        <item x="6"/>
        <item x="7"/>
        <item x="8"/>
        <item x="9"/>
        <item x="10"/>
        <item x="11"/>
        <item x="0"/>
        <item t="default"/>
      </items>
    </pivotField>
    <pivotField axis="axisPage" showAll="0">
      <items count="5">
        <item x="1"/>
        <item x="2"/>
        <item x="3"/>
        <item x="0"/>
        <item t="default"/>
      </items>
    </pivotField>
    <pivotField showAll="0"/>
    <pivotField showAll="0"/>
    <pivotField showAll="0"/>
    <pivotField axis="axisPage" showAll="0">
      <items count="4">
        <item x="1"/>
        <item x="2"/>
        <item x="0"/>
        <item t="default"/>
      </items>
    </pivotField>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s>
  <rowFields count="1">
    <field x="0"/>
  </rowFields>
  <rowItems count="11">
    <i>
      <x v="1"/>
    </i>
    <i>
      <x v="2"/>
    </i>
    <i>
      <x v="3"/>
    </i>
    <i>
      <x v="4"/>
    </i>
    <i>
      <x v="5"/>
    </i>
    <i>
      <x v="6"/>
    </i>
    <i>
      <x v="7"/>
    </i>
    <i>
      <x v="8"/>
    </i>
    <i>
      <x v="9"/>
    </i>
    <i>
      <x v="10"/>
    </i>
    <i t="grand">
      <x/>
    </i>
  </rowItems>
  <colFields count="1">
    <field x="-2"/>
  </colFields>
  <colItems count="5">
    <i>
      <x/>
    </i>
    <i i="1">
      <x v="1"/>
    </i>
    <i i="2">
      <x v="2"/>
    </i>
    <i i="3">
      <x v="3"/>
    </i>
    <i i="4">
      <x v="4"/>
    </i>
  </colItems>
  <pageFields count="2">
    <pageField fld="1" item="1" hier="-1"/>
    <pageField fld="5" item="0" hier="-1"/>
  </pageFields>
  <dataFields count="5">
    <dataField name="個数 / ｺﾐｭﾆｹｰｼｮﾝ" fld="8" subtotal="count" baseField="0" baseItem="0"/>
    <dataField name="個数 / 情報収集" fld="10" subtotal="count" baseField="0" baseItem="0"/>
    <dataField name="個数 / 情報分析" fld="12" subtotal="count" baseField="0" baseItem="0"/>
    <dataField name="個数 / 想像・先読み" fld="14" subtotal="count" baseField="0" baseItem="0"/>
    <dataField name="個数 / 計画"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7C0A74-7185-48CD-97A7-2F9CA362A210}" name="ピボットテーブル4"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R4:W6" firstHeaderRow="0" firstDataRow="1" firstDataCol="1" rowPageCount="2" colPageCount="1"/>
  <pivotFields count="17">
    <pivotField axis="axisRow" showAll="0">
      <items count="13">
        <item x="1"/>
        <item x="2"/>
        <item x="3"/>
        <item x="4"/>
        <item x="5"/>
        <item x="6"/>
        <item x="7"/>
        <item x="8"/>
        <item x="9"/>
        <item x="10"/>
        <item x="11"/>
        <item x="0"/>
        <item t="default"/>
      </items>
    </pivotField>
    <pivotField axis="axisPage" showAll="0">
      <items count="5">
        <item x="1"/>
        <item x="2"/>
        <item x="3"/>
        <item x="0"/>
        <item t="default"/>
      </items>
    </pivotField>
    <pivotField showAll="0"/>
    <pivotField showAll="0"/>
    <pivotField showAll="0"/>
    <pivotField axis="axisPage" showAll="0">
      <items count="4">
        <item x="1"/>
        <item x="2"/>
        <item x="0"/>
        <item t="default"/>
      </items>
    </pivotField>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s>
  <rowFields count="1">
    <field x="0"/>
  </rowFields>
  <rowItems count="2">
    <i>
      <x/>
    </i>
    <i t="grand">
      <x/>
    </i>
  </rowItems>
  <colFields count="1">
    <field x="-2"/>
  </colFields>
  <colItems count="5">
    <i>
      <x/>
    </i>
    <i i="1">
      <x v="1"/>
    </i>
    <i i="2">
      <x v="2"/>
    </i>
    <i i="3">
      <x v="3"/>
    </i>
    <i i="4">
      <x v="4"/>
    </i>
  </colItems>
  <pageFields count="2">
    <pageField fld="1" item="0" hier="-1"/>
    <pageField fld="5" item="0" hier="-1"/>
  </pageFields>
  <dataFields count="5">
    <dataField name="個数 / ｺﾐｭﾆｹｰｼｮﾝ" fld="8" subtotal="count" baseField="0" baseItem="0"/>
    <dataField name="個数 / 情報収集" fld="10" subtotal="count" baseField="0" baseItem="0"/>
    <dataField name="個数 / 情報分析" fld="12" subtotal="count" baseField="0" baseItem="0"/>
    <dataField name="個数 / 想像・先読み" fld="14" subtotal="count" baseField="0" baseItem="0"/>
    <dataField name="個数 / 計画"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DA44-7AF0-4FFA-BE00-EEEDBE8E134C}">
  <dimension ref="A1:P158"/>
  <sheetViews>
    <sheetView tabSelected="1" zoomScale="70" zoomScaleNormal="70" workbookViewId="0">
      <pane xSplit="6" ySplit="2" topLeftCell="G3" activePane="bottomRight" state="frozen"/>
      <selection pane="topRight" activeCell="H1" sqref="H1"/>
      <selection pane="bottomLeft" activeCell="A3" sqref="A3"/>
      <selection pane="bottomRight" activeCell="D1" sqref="D1:D1048576"/>
    </sheetView>
  </sheetViews>
  <sheetFormatPr defaultRowHeight="17.649999999999999" outlineLevelCol="1"/>
  <cols>
    <col min="1" max="2" width="5.75" customWidth="1"/>
    <col min="3" max="3" width="3.5625" customWidth="1"/>
    <col min="4" max="5" width="5.75" customWidth="1"/>
    <col min="6" max="6" width="71.25" customWidth="1"/>
    <col min="7" max="7" width="8.75" customWidth="1" outlineLevel="1"/>
    <col min="8" max="8" width="80.75" customWidth="1" outlineLevel="1"/>
    <col min="9" max="9" width="8.75" customWidth="1" outlineLevel="1"/>
    <col min="10" max="10" width="80.75" customWidth="1" outlineLevel="1"/>
    <col min="11" max="11" width="8.75" customWidth="1" outlineLevel="1"/>
    <col min="12" max="12" width="80.75" customWidth="1" outlineLevel="1"/>
    <col min="13" max="13" width="8.75" customWidth="1" outlineLevel="1"/>
    <col min="14" max="14" width="80.75" customWidth="1" outlineLevel="1"/>
    <col min="15" max="15" width="8.75" customWidth="1" outlineLevel="1"/>
    <col min="16" max="16" width="80.75" customWidth="1" outlineLevel="1"/>
  </cols>
  <sheetData>
    <row r="1" spans="1:16" ht="30">
      <c r="A1" s="7" t="s">
        <v>0</v>
      </c>
      <c r="B1" s="3" t="s">
        <v>1</v>
      </c>
      <c r="C1" s="4" t="s">
        <v>2</v>
      </c>
      <c r="D1" s="7" t="s">
        <v>3</v>
      </c>
      <c r="E1" s="7" t="s">
        <v>4</v>
      </c>
      <c r="F1" s="3" t="s">
        <v>5</v>
      </c>
      <c r="G1" s="39" t="s">
        <v>6</v>
      </c>
      <c r="H1" s="40" t="s">
        <v>7</v>
      </c>
      <c r="I1" s="39" t="s">
        <v>8</v>
      </c>
      <c r="J1" s="40" t="s">
        <v>9</v>
      </c>
      <c r="K1" s="39" t="s">
        <v>10</v>
      </c>
      <c r="L1" s="40" t="s">
        <v>11</v>
      </c>
      <c r="M1" s="39" t="s">
        <v>12</v>
      </c>
      <c r="N1" s="40" t="s">
        <v>13</v>
      </c>
      <c r="O1" s="39" t="s">
        <v>14</v>
      </c>
      <c r="P1" s="40" t="s">
        <v>15</v>
      </c>
    </row>
    <row r="2" spans="1:16">
      <c r="A2" s="7"/>
      <c r="B2" s="3"/>
      <c r="C2" s="1"/>
      <c r="D2" s="17"/>
      <c r="E2" s="17"/>
      <c r="F2" s="3"/>
      <c r="G2" s="20"/>
      <c r="H2" s="19"/>
      <c r="I2" s="20"/>
      <c r="J2" s="19"/>
      <c r="K2" s="20"/>
      <c r="L2" s="19"/>
      <c r="M2" s="20"/>
      <c r="N2" s="19"/>
      <c r="O2" s="20"/>
      <c r="P2" s="19"/>
    </row>
    <row r="3" spans="1:16" ht="135">
      <c r="A3" s="6" t="s">
        <v>16</v>
      </c>
      <c r="B3" s="2" t="s">
        <v>17</v>
      </c>
      <c r="C3" s="2">
        <v>1</v>
      </c>
      <c r="D3" s="18" t="s">
        <v>18</v>
      </c>
      <c r="E3" s="18" t="s">
        <v>3</v>
      </c>
      <c r="F3" s="5" t="s">
        <v>19</v>
      </c>
      <c r="G3" s="46"/>
      <c r="H3" s="47"/>
      <c r="I3" s="48" t="s">
        <v>20</v>
      </c>
      <c r="J3" s="33" t="s">
        <v>21</v>
      </c>
      <c r="K3" s="49"/>
      <c r="L3" s="50"/>
      <c r="M3" s="48" t="s">
        <v>20</v>
      </c>
      <c r="N3" s="33" t="s">
        <v>22</v>
      </c>
      <c r="O3" s="48" t="s">
        <v>20</v>
      </c>
      <c r="P3" s="33" t="s">
        <v>23</v>
      </c>
    </row>
    <row r="4" spans="1:16" ht="135">
      <c r="A4" s="6" t="s">
        <v>16</v>
      </c>
      <c r="B4" s="2" t="s">
        <v>17</v>
      </c>
      <c r="C4" s="2">
        <v>2</v>
      </c>
      <c r="D4" s="18" t="s">
        <v>24</v>
      </c>
      <c r="E4" s="18" t="s">
        <v>3</v>
      </c>
      <c r="F4" s="5" t="s">
        <v>25</v>
      </c>
      <c r="G4" s="49"/>
      <c r="H4" s="50"/>
      <c r="I4" s="48" t="s">
        <v>20</v>
      </c>
      <c r="J4" s="33" t="s">
        <v>26</v>
      </c>
      <c r="K4" s="49"/>
      <c r="L4" s="50"/>
      <c r="M4" s="49"/>
      <c r="N4" s="50"/>
      <c r="O4" s="49"/>
      <c r="P4" s="50"/>
    </row>
    <row r="5" spans="1:16" ht="180">
      <c r="A5" s="6" t="s">
        <v>16</v>
      </c>
      <c r="B5" s="2" t="s">
        <v>17</v>
      </c>
      <c r="C5" s="2">
        <v>3</v>
      </c>
      <c r="D5" s="18" t="s">
        <v>27</v>
      </c>
      <c r="E5" s="18" t="s">
        <v>3</v>
      </c>
      <c r="F5" s="5" t="s">
        <v>28</v>
      </c>
      <c r="G5" s="49"/>
      <c r="H5" s="50"/>
      <c r="I5" s="48"/>
      <c r="J5" s="51"/>
      <c r="K5" s="48" t="s">
        <v>20</v>
      </c>
      <c r="L5" s="33" t="s">
        <v>29</v>
      </c>
      <c r="M5" s="49"/>
      <c r="N5" s="50"/>
      <c r="O5" s="49"/>
      <c r="P5" s="50"/>
    </row>
    <row r="6" spans="1:16" ht="45">
      <c r="A6" s="6" t="s">
        <v>16</v>
      </c>
      <c r="B6" s="2" t="s">
        <v>17</v>
      </c>
      <c r="C6" s="2">
        <v>4</v>
      </c>
      <c r="D6" s="18" t="s">
        <v>30</v>
      </c>
      <c r="E6" s="18" t="s">
        <v>3</v>
      </c>
      <c r="F6" s="5" t="s">
        <v>31</v>
      </c>
      <c r="G6" s="49"/>
      <c r="H6" s="50"/>
      <c r="I6" s="48" t="s">
        <v>20</v>
      </c>
      <c r="J6" s="33" t="s">
        <v>32</v>
      </c>
      <c r="K6" s="49"/>
      <c r="L6" s="50"/>
      <c r="M6" s="49"/>
      <c r="N6" s="50"/>
      <c r="O6" s="48" t="s">
        <v>20</v>
      </c>
      <c r="P6" s="33" t="s">
        <v>33</v>
      </c>
    </row>
    <row r="7" spans="1:16" ht="135">
      <c r="A7" s="6" t="s">
        <v>16</v>
      </c>
      <c r="B7" s="2" t="s">
        <v>17</v>
      </c>
      <c r="C7" s="2">
        <v>5</v>
      </c>
      <c r="D7" s="18" t="s">
        <v>34</v>
      </c>
      <c r="E7" s="18" t="s">
        <v>3</v>
      </c>
      <c r="F7" s="5" t="s">
        <v>35</v>
      </c>
      <c r="G7" s="48"/>
      <c r="H7" s="51"/>
      <c r="I7" s="49"/>
      <c r="J7" s="50"/>
      <c r="K7" s="49"/>
      <c r="L7" s="50"/>
      <c r="M7" s="48" t="s">
        <v>20</v>
      </c>
      <c r="N7" s="33" t="s">
        <v>36</v>
      </c>
      <c r="O7" s="48" t="s">
        <v>20</v>
      </c>
      <c r="P7" s="33" t="s">
        <v>37</v>
      </c>
    </row>
    <row r="8" spans="1:16" ht="150">
      <c r="A8" s="6" t="s">
        <v>16</v>
      </c>
      <c r="B8" s="2" t="s">
        <v>17</v>
      </c>
      <c r="C8" s="2">
        <v>6</v>
      </c>
      <c r="D8" s="18" t="s">
        <v>38</v>
      </c>
      <c r="E8" s="18" t="s">
        <v>3</v>
      </c>
      <c r="F8" s="5" t="s">
        <v>39</v>
      </c>
      <c r="G8" s="48"/>
      <c r="H8" s="51"/>
      <c r="I8" s="48" t="s">
        <v>20</v>
      </c>
      <c r="J8" s="33" t="s">
        <v>40</v>
      </c>
      <c r="K8" s="48" t="s">
        <v>20</v>
      </c>
      <c r="L8" s="33" t="s">
        <v>41</v>
      </c>
      <c r="M8" s="48" t="s">
        <v>20</v>
      </c>
      <c r="N8" s="33" t="s">
        <v>42</v>
      </c>
      <c r="O8" s="48"/>
      <c r="P8" s="51"/>
    </row>
    <row r="9" spans="1:16" ht="165">
      <c r="A9" s="6" t="s">
        <v>16</v>
      </c>
      <c r="B9" s="2" t="s">
        <v>17</v>
      </c>
      <c r="C9" s="2">
        <v>7</v>
      </c>
      <c r="D9" s="18" t="s">
        <v>43</v>
      </c>
      <c r="E9" s="18" t="s">
        <v>3</v>
      </c>
      <c r="F9" s="5" t="s">
        <v>44</v>
      </c>
      <c r="G9" s="48"/>
      <c r="H9" s="51"/>
      <c r="I9" s="48" t="s">
        <v>20</v>
      </c>
      <c r="J9" s="33" t="s">
        <v>45</v>
      </c>
      <c r="K9" s="49"/>
      <c r="L9" s="50"/>
      <c r="M9" s="49"/>
      <c r="N9" s="50"/>
      <c r="O9" s="52" t="s">
        <v>20</v>
      </c>
      <c r="P9" s="33" t="s">
        <v>46</v>
      </c>
    </row>
    <row r="10" spans="1:16" ht="225">
      <c r="A10" s="6" t="s">
        <v>16</v>
      </c>
      <c r="B10" s="2" t="s">
        <v>17</v>
      </c>
      <c r="C10" s="2">
        <v>8</v>
      </c>
      <c r="D10" s="18" t="s">
        <v>47</v>
      </c>
      <c r="E10" s="18" t="s">
        <v>3</v>
      </c>
      <c r="F10" s="5" t="s">
        <v>48</v>
      </c>
      <c r="G10" s="49"/>
      <c r="H10" s="50"/>
      <c r="I10" s="48" t="s">
        <v>20</v>
      </c>
      <c r="J10" s="33" t="s">
        <v>49</v>
      </c>
      <c r="K10" s="48" t="s">
        <v>20</v>
      </c>
      <c r="L10" s="33" t="s">
        <v>50</v>
      </c>
      <c r="M10" s="48" t="s">
        <v>20</v>
      </c>
      <c r="N10" s="33" t="s">
        <v>51</v>
      </c>
      <c r="O10" s="49"/>
      <c r="P10" s="50"/>
    </row>
    <row r="11" spans="1:16" ht="135">
      <c r="A11" s="53" t="s">
        <v>52</v>
      </c>
      <c r="B11" s="54" t="s">
        <v>53</v>
      </c>
      <c r="C11" s="54">
        <v>1</v>
      </c>
      <c r="D11" s="55" t="s">
        <v>54</v>
      </c>
      <c r="E11" s="55" t="s">
        <v>3</v>
      </c>
      <c r="F11" s="56" t="s">
        <v>55</v>
      </c>
      <c r="G11" s="48" t="s">
        <v>20</v>
      </c>
      <c r="H11" s="33" t="s">
        <v>56</v>
      </c>
      <c r="I11" s="48" t="s">
        <v>20</v>
      </c>
      <c r="J11" s="33" t="s">
        <v>57</v>
      </c>
      <c r="K11" s="49"/>
      <c r="L11" s="50"/>
      <c r="M11" s="49"/>
      <c r="N11" s="50"/>
      <c r="O11" s="49"/>
      <c r="P11" s="50"/>
    </row>
    <row r="12" spans="1:16" ht="90">
      <c r="A12" s="6" t="s">
        <v>52</v>
      </c>
      <c r="B12" s="2" t="s">
        <v>53</v>
      </c>
      <c r="C12" s="2">
        <v>2</v>
      </c>
      <c r="D12" s="18" t="s">
        <v>58</v>
      </c>
      <c r="E12" s="18" t="s">
        <v>3</v>
      </c>
      <c r="F12" s="5" t="s">
        <v>59</v>
      </c>
      <c r="G12" s="57" t="s">
        <v>20</v>
      </c>
      <c r="H12" s="58" t="s">
        <v>60</v>
      </c>
      <c r="I12" s="57"/>
      <c r="J12" s="59"/>
      <c r="K12" s="60"/>
      <c r="L12" s="61"/>
      <c r="M12" s="60"/>
      <c r="N12" s="61"/>
      <c r="O12" s="57" t="s">
        <v>20</v>
      </c>
      <c r="P12" s="58" t="s">
        <v>61</v>
      </c>
    </row>
    <row r="13" spans="1:16" ht="150">
      <c r="A13" s="6" t="s">
        <v>52</v>
      </c>
      <c r="B13" s="2" t="s">
        <v>62</v>
      </c>
      <c r="C13" s="2">
        <v>3</v>
      </c>
      <c r="D13" s="18" t="s">
        <v>63</v>
      </c>
      <c r="E13" s="18" t="s">
        <v>63</v>
      </c>
      <c r="F13" s="5" t="s">
        <v>64</v>
      </c>
      <c r="G13" s="24" t="s">
        <v>20</v>
      </c>
      <c r="H13" s="33" t="s">
        <v>65</v>
      </c>
      <c r="I13" s="24" t="s">
        <v>20</v>
      </c>
      <c r="J13" s="33" t="s">
        <v>66</v>
      </c>
      <c r="K13" s="23"/>
      <c r="L13" s="21"/>
      <c r="M13" s="23"/>
      <c r="N13" s="21"/>
      <c r="O13" s="24" t="s">
        <v>20</v>
      </c>
      <c r="P13" s="33" t="s">
        <v>67</v>
      </c>
    </row>
    <row r="14" spans="1:16" ht="150">
      <c r="A14" s="6" t="s">
        <v>52</v>
      </c>
      <c r="B14" s="2" t="s">
        <v>62</v>
      </c>
      <c r="C14" s="2">
        <v>4</v>
      </c>
      <c r="D14" s="18" t="s">
        <v>63</v>
      </c>
      <c r="E14" s="18" t="s">
        <v>63</v>
      </c>
      <c r="F14" s="5" t="s">
        <v>68</v>
      </c>
      <c r="G14" s="24"/>
      <c r="H14" s="25"/>
      <c r="I14" s="24"/>
      <c r="J14" s="25"/>
      <c r="K14" s="24" t="s">
        <v>20</v>
      </c>
      <c r="L14" s="33" t="s">
        <v>69</v>
      </c>
      <c r="M14" s="24" t="s">
        <v>20</v>
      </c>
      <c r="N14" s="33" t="s">
        <v>70</v>
      </c>
      <c r="O14" s="24" t="s">
        <v>20</v>
      </c>
      <c r="P14" s="33" t="s">
        <v>71</v>
      </c>
    </row>
    <row r="15" spans="1:16" ht="120">
      <c r="A15" s="6" t="s">
        <v>52</v>
      </c>
      <c r="B15" s="2" t="s">
        <v>62</v>
      </c>
      <c r="C15" s="2">
        <v>5</v>
      </c>
      <c r="D15" s="18" t="s">
        <v>63</v>
      </c>
      <c r="E15" s="18" t="s">
        <v>63</v>
      </c>
      <c r="F15" s="5" t="s">
        <v>72</v>
      </c>
      <c r="G15" s="24" t="s">
        <v>20</v>
      </c>
      <c r="H15" s="33" t="s">
        <v>73</v>
      </c>
      <c r="I15" s="24" t="s">
        <v>20</v>
      </c>
      <c r="J15" s="33" t="s">
        <v>74</v>
      </c>
      <c r="K15" s="23"/>
      <c r="L15" s="21"/>
      <c r="M15" s="23"/>
      <c r="N15" s="21"/>
      <c r="O15" s="23"/>
      <c r="P15" s="21"/>
    </row>
    <row r="16" spans="1:16" ht="120">
      <c r="A16" s="6" t="s">
        <v>52</v>
      </c>
      <c r="B16" s="2" t="s">
        <v>62</v>
      </c>
      <c r="C16" s="2">
        <v>6</v>
      </c>
      <c r="D16" s="18" t="s">
        <v>63</v>
      </c>
      <c r="E16" s="18" t="s">
        <v>63</v>
      </c>
      <c r="F16" s="5" t="s">
        <v>75</v>
      </c>
      <c r="G16" s="24" t="s">
        <v>20</v>
      </c>
      <c r="H16" s="33" t="s">
        <v>76</v>
      </c>
      <c r="I16" s="23"/>
      <c r="J16" s="21"/>
      <c r="K16" s="23"/>
      <c r="L16" s="21"/>
      <c r="M16" s="23"/>
      <c r="N16" s="21"/>
      <c r="O16" s="23"/>
      <c r="P16" s="21"/>
    </row>
    <row r="17" spans="1:16" ht="120">
      <c r="A17" s="6" t="s">
        <v>52</v>
      </c>
      <c r="B17" s="2" t="s">
        <v>62</v>
      </c>
      <c r="C17" s="2">
        <v>7</v>
      </c>
      <c r="D17" s="18" t="s">
        <v>77</v>
      </c>
      <c r="E17" s="18" t="s">
        <v>3</v>
      </c>
      <c r="F17" s="5" t="s">
        <v>78</v>
      </c>
      <c r="G17" s="24" t="s">
        <v>20</v>
      </c>
      <c r="H17" s="33" t="s">
        <v>79</v>
      </c>
      <c r="I17" s="23"/>
      <c r="J17" s="21"/>
      <c r="K17" s="23"/>
      <c r="L17" s="21"/>
      <c r="M17" s="23"/>
      <c r="N17" s="21"/>
      <c r="O17" s="23"/>
      <c r="P17" s="21"/>
    </row>
    <row r="18" spans="1:16" ht="135">
      <c r="A18" s="6" t="s">
        <v>80</v>
      </c>
      <c r="B18" s="2" t="s">
        <v>53</v>
      </c>
      <c r="C18" s="2">
        <v>1</v>
      </c>
      <c r="D18" s="18" t="s">
        <v>54</v>
      </c>
      <c r="E18" s="18" t="s">
        <v>3</v>
      </c>
      <c r="F18" s="5" t="s">
        <v>55</v>
      </c>
      <c r="G18" s="24" t="s">
        <v>20</v>
      </c>
      <c r="H18" s="33" t="s">
        <v>56</v>
      </c>
      <c r="I18" s="24" t="s">
        <v>20</v>
      </c>
      <c r="J18" s="33" t="s">
        <v>57</v>
      </c>
      <c r="K18" s="23"/>
      <c r="L18" s="21"/>
      <c r="M18" s="23"/>
      <c r="N18" s="21"/>
      <c r="O18" s="23"/>
      <c r="P18" s="21"/>
    </row>
    <row r="19" spans="1:16" ht="90">
      <c r="A19" s="6" t="s">
        <v>80</v>
      </c>
      <c r="B19" s="2" t="s">
        <v>53</v>
      </c>
      <c r="C19" s="2">
        <v>2</v>
      </c>
      <c r="D19" s="18" t="s">
        <v>58</v>
      </c>
      <c r="E19" s="18" t="s">
        <v>3</v>
      </c>
      <c r="F19" s="5" t="s">
        <v>59</v>
      </c>
      <c r="G19" s="24" t="s">
        <v>20</v>
      </c>
      <c r="H19" s="33" t="s">
        <v>60</v>
      </c>
      <c r="I19" s="24"/>
      <c r="J19" s="25"/>
      <c r="K19" s="23"/>
      <c r="L19" s="21"/>
      <c r="M19" s="23"/>
      <c r="N19" s="21"/>
      <c r="O19" s="24" t="s">
        <v>20</v>
      </c>
      <c r="P19" s="33" t="s">
        <v>61</v>
      </c>
    </row>
    <row r="20" spans="1:16" ht="135">
      <c r="A20" s="6" t="s">
        <v>80</v>
      </c>
      <c r="B20" s="2" t="s">
        <v>53</v>
      </c>
      <c r="C20" s="2">
        <v>3</v>
      </c>
      <c r="D20" s="18" t="s">
        <v>63</v>
      </c>
      <c r="E20" s="18" t="s">
        <v>63</v>
      </c>
      <c r="F20" s="5" t="s">
        <v>81</v>
      </c>
      <c r="G20" s="24"/>
      <c r="H20" s="25"/>
      <c r="I20" s="24" t="s">
        <v>20</v>
      </c>
      <c r="J20" s="33" t="s">
        <v>82</v>
      </c>
      <c r="K20" s="23"/>
      <c r="L20" s="21"/>
      <c r="M20" s="23"/>
      <c r="N20" s="21"/>
      <c r="O20" s="24" t="s">
        <v>20</v>
      </c>
      <c r="P20" s="33" t="s">
        <v>83</v>
      </c>
    </row>
    <row r="21" spans="1:16" ht="135">
      <c r="A21" s="6" t="s">
        <v>80</v>
      </c>
      <c r="B21" s="2" t="s">
        <v>53</v>
      </c>
      <c r="C21" s="2">
        <v>4</v>
      </c>
      <c r="D21" s="18" t="s">
        <v>63</v>
      </c>
      <c r="E21" s="18" t="s">
        <v>63</v>
      </c>
      <c r="F21" s="5" t="s">
        <v>84</v>
      </c>
      <c r="G21" s="24" t="s">
        <v>20</v>
      </c>
      <c r="H21" s="33" t="s">
        <v>85</v>
      </c>
      <c r="I21" s="24" t="s">
        <v>20</v>
      </c>
      <c r="J21" s="33" t="s">
        <v>86</v>
      </c>
      <c r="K21" s="23"/>
      <c r="L21" s="21"/>
      <c r="M21" s="23"/>
      <c r="N21" s="21"/>
      <c r="O21" s="23"/>
      <c r="P21" s="21"/>
    </row>
    <row r="22" spans="1:16" ht="120">
      <c r="A22" s="6" t="s">
        <v>80</v>
      </c>
      <c r="B22" s="2" t="s">
        <v>53</v>
      </c>
      <c r="C22" s="2">
        <v>5</v>
      </c>
      <c r="D22" s="18" t="s">
        <v>63</v>
      </c>
      <c r="E22" s="18" t="s">
        <v>63</v>
      </c>
      <c r="F22" s="5" t="s">
        <v>87</v>
      </c>
      <c r="G22" s="23"/>
      <c r="H22" s="21"/>
      <c r="I22" s="23"/>
      <c r="J22" s="21"/>
      <c r="K22" s="23"/>
      <c r="L22" s="21"/>
      <c r="M22" s="23"/>
      <c r="N22" s="21"/>
      <c r="O22" s="24" t="s">
        <v>20</v>
      </c>
      <c r="P22" s="33" t="s">
        <v>88</v>
      </c>
    </row>
    <row r="23" spans="1:16" ht="135">
      <c r="A23" s="6" t="s">
        <v>80</v>
      </c>
      <c r="B23" s="2" t="s">
        <v>53</v>
      </c>
      <c r="C23" s="2">
        <v>6</v>
      </c>
      <c r="D23" s="18" t="s">
        <v>63</v>
      </c>
      <c r="E23" s="18" t="s">
        <v>63</v>
      </c>
      <c r="F23" s="5" t="s">
        <v>89</v>
      </c>
      <c r="G23" s="23"/>
      <c r="H23" s="21"/>
      <c r="I23" s="23"/>
      <c r="J23" s="21"/>
      <c r="K23" s="24" t="s">
        <v>20</v>
      </c>
      <c r="L23" s="33" t="s">
        <v>90</v>
      </c>
      <c r="M23" s="24" t="s">
        <v>20</v>
      </c>
      <c r="N23" s="33" t="s">
        <v>91</v>
      </c>
      <c r="O23" s="23"/>
      <c r="P23" s="21"/>
    </row>
    <row r="24" spans="1:16" ht="120">
      <c r="A24" s="6" t="s">
        <v>80</v>
      </c>
      <c r="B24" s="2" t="s">
        <v>62</v>
      </c>
      <c r="C24" s="2">
        <v>7</v>
      </c>
      <c r="D24" s="18" t="s">
        <v>77</v>
      </c>
      <c r="E24" s="18" t="s">
        <v>3</v>
      </c>
      <c r="F24" s="5" t="s">
        <v>78</v>
      </c>
      <c r="G24" s="24" t="s">
        <v>20</v>
      </c>
      <c r="H24" s="33" t="s">
        <v>79</v>
      </c>
      <c r="I24" s="23"/>
      <c r="J24" s="21"/>
      <c r="K24" s="23"/>
      <c r="L24" s="21"/>
      <c r="M24" s="23"/>
      <c r="N24" s="21"/>
      <c r="O24" s="23"/>
      <c r="P24" s="21"/>
    </row>
    <row r="25" spans="1:16" ht="135">
      <c r="A25" s="6" t="s">
        <v>92</v>
      </c>
      <c r="B25" s="2" t="s">
        <v>53</v>
      </c>
      <c r="C25" s="2">
        <v>1</v>
      </c>
      <c r="D25" s="18" t="s">
        <v>54</v>
      </c>
      <c r="E25" s="18" t="s">
        <v>3</v>
      </c>
      <c r="F25" s="5" t="s">
        <v>55</v>
      </c>
      <c r="G25" s="24" t="s">
        <v>20</v>
      </c>
      <c r="H25" s="33" t="s">
        <v>56</v>
      </c>
      <c r="I25" s="24" t="s">
        <v>20</v>
      </c>
      <c r="J25" s="33" t="s">
        <v>57</v>
      </c>
      <c r="K25" s="23"/>
      <c r="L25" s="21"/>
      <c r="M25" s="23"/>
      <c r="N25" s="21"/>
      <c r="O25" s="23"/>
      <c r="P25" s="21"/>
    </row>
    <row r="26" spans="1:16" ht="90">
      <c r="A26" s="6" t="s">
        <v>92</v>
      </c>
      <c r="B26" s="2" t="s">
        <v>53</v>
      </c>
      <c r="C26" s="2">
        <v>2</v>
      </c>
      <c r="D26" s="18" t="s">
        <v>58</v>
      </c>
      <c r="E26" s="18" t="s">
        <v>3</v>
      </c>
      <c r="F26" s="5" t="s">
        <v>59</v>
      </c>
      <c r="G26" s="24" t="s">
        <v>20</v>
      </c>
      <c r="H26" s="33" t="s">
        <v>60</v>
      </c>
      <c r="I26" s="24"/>
      <c r="J26" s="25"/>
      <c r="K26" s="23"/>
      <c r="L26" s="21"/>
      <c r="M26" s="23"/>
      <c r="N26" s="21"/>
      <c r="O26" s="24" t="s">
        <v>20</v>
      </c>
      <c r="P26" s="33" t="s">
        <v>61</v>
      </c>
    </row>
    <row r="27" spans="1:16" ht="225">
      <c r="A27" s="6" t="s">
        <v>92</v>
      </c>
      <c r="B27" s="2" t="s">
        <v>53</v>
      </c>
      <c r="C27" s="2">
        <v>3</v>
      </c>
      <c r="D27" s="18" t="s">
        <v>63</v>
      </c>
      <c r="E27" s="18" t="s">
        <v>63</v>
      </c>
      <c r="F27" s="5" t="s">
        <v>93</v>
      </c>
      <c r="G27" s="24" t="s">
        <v>20</v>
      </c>
      <c r="H27" s="33" t="s">
        <v>94</v>
      </c>
      <c r="I27" s="23"/>
      <c r="J27" s="21"/>
      <c r="K27" s="24" t="s">
        <v>20</v>
      </c>
      <c r="L27" s="33" t="s">
        <v>95</v>
      </c>
      <c r="M27" s="23"/>
      <c r="N27" s="21"/>
      <c r="O27" s="24" t="s">
        <v>20</v>
      </c>
      <c r="P27" s="33" t="s">
        <v>96</v>
      </c>
    </row>
    <row r="28" spans="1:16" ht="180">
      <c r="A28" s="6" t="s">
        <v>92</v>
      </c>
      <c r="B28" s="2" t="s">
        <v>53</v>
      </c>
      <c r="C28" s="2">
        <v>4</v>
      </c>
      <c r="D28" s="18" t="s">
        <v>63</v>
      </c>
      <c r="E28" s="18" t="s">
        <v>63</v>
      </c>
      <c r="F28" s="5" t="s">
        <v>97</v>
      </c>
      <c r="G28" s="24" t="s">
        <v>20</v>
      </c>
      <c r="H28" s="33" t="s">
        <v>98</v>
      </c>
      <c r="I28" s="24" t="s">
        <v>20</v>
      </c>
      <c r="J28" s="33" t="s">
        <v>99</v>
      </c>
      <c r="K28" s="23"/>
      <c r="L28" s="21"/>
      <c r="M28" s="24" t="s">
        <v>20</v>
      </c>
      <c r="N28" s="33" t="s">
        <v>100</v>
      </c>
      <c r="O28" s="24"/>
      <c r="P28" s="25"/>
    </row>
    <row r="29" spans="1:16" ht="135">
      <c r="A29" s="6" t="s">
        <v>92</v>
      </c>
      <c r="B29" s="2" t="s">
        <v>53</v>
      </c>
      <c r="C29" s="2">
        <v>5</v>
      </c>
      <c r="D29" s="18" t="s">
        <v>63</v>
      </c>
      <c r="E29" s="18" t="s">
        <v>63</v>
      </c>
      <c r="F29" s="5" t="s">
        <v>101</v>
      </c>
      <c r="G29" s="23"/>
      <c r="H29" s="21"/>
      <c r="I29" s="24" t="s">
        <v>20</v>
      </c>
      <c r="J29" s="33" t="s">
        <v>102</v>
      </c>
      <c r="K29" s="23"/>
      <c r="L29" s="21"/>
      <c r="M29" s="24" t="s">
        <v>20</v>
      </c>
      <c r="N29" s="33" t="s">
        <v>103</v>
      </c>
      <c r="O29" s="24" t="s">
        <v>20</v>
      </c>
      <c r="P29" s="33" t="s">
        <v>104</v>
      </c>
    </row>
    <row r="30" spans="1:16" ht="195">
      <c r="A30" s="6" t="s">
        <v>92</v>
      </c>
      <c r="B30" s="2" t="s">
        <v>53</v>
      </c>
      <c r="C30" s="2">
        <v>6</v>
      </c>
      <c r="D30" s="18" t="s">
        <v>63</v>
      </c>
      <c r="E30" s="18" t="s">
        <v>63</v>
      </c>
      <c r="F30" s="5" t="s">
        <v>105</v>
      </c>
      <c r="G30" s="24" t="s">
        <v>20</v>
      </c>
      <c r="H30" s="33" t="s">
        <v>106</v>
      </c>
      <c r="I30" s="23"/>
      <c r="J30" s="21"/>
      <c r="K30" s="23"/>
      <c r="L30" s="21"/>
      <c r="M30" s="24" t="s">
        <v>20</v>
      </c>
      <c r="N30" s="33" t="s">
        <v>107</v>
      </c>
      <c r="O30" s="24" t="s">
        <v>20</v>
      </c>
      <c r="P30" s="33" t="s">
        <v>108</v>
      </c>
    </row>
    <row r="31" spans="1:16" ht="120">
      <c r="A31" s="6" t="s">
        <v>92</v>
      </c>
      <c r="B31" s="2" t="s">
        <v>62</v>
      </c>
      <c r="C31" s="2">
        <v>7</v>
      </c>
      <c r="D31" s="18" t="s">
        <v>77</v>
      </c>
      <c r="E31" s="18" t="s">
        <v>3</v>
      </c>
      <c r="F31" s="5" t="s">
        <v>78</v>
      </c>
      <c r="G31" s="24" t="s">
        <v>20</v>
      </c>
      <c r="H31" s="33" t="s">
        <v>79</v>
      </c>
      <c r="I31" s="23"/>
      <c r="J31" s="21"/>
      <c r="K31" s="23"/>
      <c r="L31" s="21"/>
      <c r="M31" s="23"/>
      <c r="N31" s="21"/>
      <c r="O31" s="23"/>
      <c r="P31" s="21"/>
    </row>
    <row r="32" spans="1:16" ht="135">
      <c r="A32" s="6" t="s">
        <v>109</v>
      </c>
      <c r="B32" s="2" t="s">
        <v>53</v>
      </c>
      <c r="C32" s="2">
        <v>1</v>
      </c>
      <c r="D32" s="18" t="s">
        <v>54</v>
      </c>
      <c r="E32" s="18" t="s">
        <v>3</v>
      </c>
      <c r="F32" s="5" t="s">
        <v>55</v>
      </c>
      <c r="G32" s="24" t="s">
        <v>20</v>
      </c>
      <c r="H32" s="33" t="s">
        <v>56</v>
      </c>
      <c r="I32" s="24" t="s">
        <v>20</v>
      </c>
      <c r="J32" s="33" t="s">
        <v>57</v>
      </c>
      <c r="K32" s="23"/>
      <c r="L32" s="21"/>
      <c r="M32" s="23"/>
      <c r="N32" s="21"/>
      <c r="O32" s="23"/>
      <c r="P32" s="21"/>
    </row>
    <row r="33" spans="1:16" ht="90">
      <c r="A33" s="6" t="s">
        <v>109</v>
      </c>
      <c r="B33" s="2" t="s">
        <v>53</v>
      </c>
      <c r="C33" s="2">
        <v>2</v>
      </c>
      <c r="D33" s="18" t="s">
        <v>58</v>
      </c>
      <c r="E33" s="18" t="s">
        <v>3</v>
      </c>
      <c r="F33" s="5" t="s">
        <v>59</v>
      </c>
      <c r="G33" s="24" t="s">
        <v>20</v>
      </c>
      <c r="H33" s="33" t="s">
        <v>60</v>
      </c>
      <c r="I33" s="24"/>
      <c r="J33" s="25"/>
      <c r="K33" s="23"/>
      <c r="L33" s="21"/>
      <c r="M33" s="23"/>
      <c r="N33" s="21"/>
      <c r="O33" s="24" t="s">
        <v>20</v>
      </c>
      <c r="P33" s="33" t="s">
        <v>61</v>
      </c>
    </row>
    <row r="34" spans="1:16" ht="135">
      <c r="A34" s="6" t="s">
        <v>109</v>
      </c>
      <c r="B34" s="2" t="s">
        <v>53</v>
      </c>
      <c r="C34" s="2">
        <v>3</v>
      </c>
      <c r="D34" s="18" t="s">
        <v>63</v>
      </c>
      <c r="E34" s="18" t="s">
        <v>63</v>
      </c>
      <c r="F34" s="5" t="s">
        <v>110</v>
      </c>
      <c r="G34" s="57" t="s">
        <v>20</v>
      </c>
      <c r="H34" s="58" t="s">
        <v>111</v>
      </c>
      <c r="I34" s="57" t="s">
        <v>20</v>
      </c>
      <c r="J34" s="58" t="s">
        <v>112</v>
      </c>
      <c r="K34" s="57"/>
      <c r="L34" s="59"/>
      <c r="M34" s="60"/>
      <c r="N34" s="61"/>
      <c r="O34" s="57"/>
      <c r="P34" s="59"/>
    </row>
    <row r="35" spans="1:16" ht="255">
      <c r="A35" s="6" t="s">
        <v>109</v>
      </c>
      <c r="B35" s="2" t="s">
        <v>53</v>
      </c>
      <c r="C35" s="2">
        <v>4</v>
      </c>
      <c r="D35" s="18" t="s">
        <v>63</v>
      </c>
      <c r="E35" s="18" t="s">
        <v>63</v>
      </c>
      <c r="F35" s="5" t="s">
        <v>113</v>
      </c>
      <c r="G35" s="23"/>
      <c r="H35" s="21"/>
      <c r="I35" s="24"/>
      <c r="J35" s="25"/>
      <c r="K35" s="24" t="s">
        <v>20</v>
      </c>
      <c r="L35" s="33" t="s">
        <v>114</v>
      </c>
      <c r="M35" s="24" t="s">
        <v>20</v>
      </c>
      <c r="N35" s="33" t="s">
        <v>115</v>
      </c>
      <c r="O35" s="24"/>
      <c r="P35" s="25"/>
    </row>
    <row r="36" spans="1:16" ht="135">
      <c r="A36" s="6" t="s">
        <v>109</v>
      </c>
      <c r="B36" s="2" t="s">
        <v>53</v>
      </c>
      <c r="C36" s="2">
        <v>5</v>
      </c>
      <c r="D36" s="18" t="s">
        <v>63</v>
      </c>
      <c r="E36" s="18" t="s">
        <v>63</v>
      </c>
      <c r="F36" s="5" t="s">
        <v>116</v>
      </c>
      <c r="G36" s="24" t="s">
        <v>20</v>
      </c>
      <c r="H36" s="33" t="s">
        <v>117</v>
      </c>
      <c r="I36" s="24"/>
      <c r="J36" s="25"/>
      <c r="K36" s="24" t="s">
        <v>20</v>
      </c>
      <c r="L36" s="33" t="s">
        <v>118</v>
      </c>
      <c r="M36" s="24" t="s">
        <v>20</v>
      </c>
      <c r="N36" s="33" t="s">
        <v>119</v>
      </c>
      <c r="O36" s="24"/>
      <c r="P36" s="25"/>
    </row>
    <row r="37" spans="1:16" ht="180">
      <c r="A37" s="6" t="s">
        <v>109</v>
      </c>
      <c r="B37" s="2" t="s">
        <v>53</v>
      </c>
      <c r="C37" s="2">
        <v>6</v>
      </c>
      <c r="D37" s="18" t="s">
        <v>63</v>
      </c>
      <c r="E37" s="18" t="s">
        <v>63</v>
      </c>
      <c r="F37" s="5" t="s">
        <v>120</v>
      </c>
      <c r="G37" s="23"/>
      <c r="H37" s="21"/>
      <c r="I37" s="23"/>
      <c r="J37" s="21"/>
      <c r="K37" s="24" t="s">
        <v>20</v>
      </c>
      <c r="L37" s="33" t="s">
        <v>121</v>
      </c>
      <c r="M37" s="24" t="s">
        <v>20</v>
      </c>
      <c r="N37" s="33" t="s">
        <v>122</v>
      </c>
      <c r="O37" s="24"/>
      <c r="P37" s="25"/>
    </row>
    <row r="38" spans="1:16" ht="120">
      <c r="A38" s="6" t="s">
        <v>109</v>
      </c>
      <c r="B38" s="2" t="s">
        <v>62</v>
      </c>
      <c r="C38" s="2">
        <v>7</v>
      </c>
      <c r="D38" s="18" t="s">
        <v>77</v>
      </c>
      <c r="E38" s="18" t="s">
        <v>3</v>
      </c>
      <c r="F38" s="5" t="s">
        <v>78</v>
      </c>
      <c r="G38" s="24" t="s">
        <v>20</v>
      </c>
      <c r="H38" s="33" t="s">
        <v>79</v>
      </c>
      <c r="I38" s="23"/>
      <c r="J38" s="21"/>
      <c r="K38" s="23"/>
      <c r="L38" s="21"/>
      <c r="M38" s="23"/>
      <c r="N38" s="21"/>
      <c r="O38" s="23"/>
      <c r="P38" s="21"/>
    </row>
    <row r="39" spans="1:16" ht="135">
      <c r="A39" s="6" t="s">
        <v>123</v>
      </c>
      <c r="B39" s="2" t="s">
        <v>53</v>
      </c>
      <c r="C39" s="2">
        <v>1</v>
      </c>
      <c r="D39" s="18" t="s">
        <v>54</v>
      </c>
      <c r="E39" s="18" t="s">
        <v>3</v>
      </c>
      <c r="F39" s="5" t="s">
        <v>55</v>
      </c>
      <c r="G39" s="24" t="s">
        <v>20</v>
      </c>
      <c r="H39" s="33" t="s">
        <v>56</v>
      </c>
      <c r="I39" s="24" t="s">
        <v>20</v>
      </c>
      <c r="J39" s="33" t="s">
        <v>57</v>
      </c>
      <c r="K39" s="23"/>
      <c r="L39" s="21"/>
      <c r="M39" s="23"/>
      <c r="N39" s="21"/>
      <c r="O39" s="23"/>
      <c r="P39" s="21"/>
    </row>
    <row r="40" spans="1:16" ht="90">
      <c r="A40" s="6" t="s">
        <v>123</v>
      </c>
      <c r="B40" s="2" t="s">
        <v>53</v>
      </c>
      <c r="C40" s="2">
        <v>2</v>
      </c>
      <c r="D40" s="18" t="s">
        <v>58</v>
      </c>
      <c r="E40" s="18" t="s">
        <v>3</v>
      </c>
      <c r="F40" s="5" t="s">
        <v>59</v>
      </c>
      <c r="G40" s="24" t="s">
        <v>20</v>
      </c>
      <c r="H40" s="33" t="s">
        <v>60</v>
      </c>
      <c r="I40" s="24"/>
      <c r="J40" s="25"/>
      <c r="K40" s="23"/>
      <c r="L40" s="21"/>
      <c r="M40" s="23"/>
      <c r="N40" s="21"/>
      <c r="O40" s="24" t="s">
        <v>20</v>
      </c>
      <c r="P40" s="33" t="s">
        <v>61</v>
      </c>
    </row>
    <row r="41" spans="1:16" ht="150">
      <c r="A41" s="6" t="s">
        <v>123</v>
      </c>
      <c r="B41" s="2" t="s">
        <v>53</v>
      </c>
      <c r="C41" s="2">
        <v>3</v>
      </c>
      <c r="D41" s="18" t="s">
        <v>63</v>
      </c>
      <c r="E41" s="18" t="s">
        <v>63</v>
      </c>
      <c r="F41" s="5" t="s">
        <v>124</v>
      </c>
      <c r="G41" s="24" t="s">
        <v>20</v>
      </c>
      <c r="H41" s="33" t="s">
        <v>125</v>
      </c>
      <c r="I41" s="24" t="s">
        <v>20</v>
      </c>
      <c r="J41" s="33" t="s">
        <v>126</v>
      </c>
      <c r="K41" s="23"/>
      <c r="L41" s="21"/>
      <c r="M41" s="23"/>
      <c r="N41" s="21"/>
      <c r="O41" s="24"/>
      <c r="P41" s="25"/>
    </row>
    <row r="42" spans="1:16" ht="150">
      <c r="A42" s="6" t="s">
        <v>123</v>
      </c>
      <c r="B42" s="2" t="s">
        <v>53</v>
      </c>
      <c r="C42" s="2">
        <v>4</v>
      </c>
      <c r="D42" s="18" t="s">
        <v>63</v>
      </c>
      <c r="E42" s="18" t="s">
        <v>63</v>
      </c>
      <c r="F42" s="5" t="s">
        <v>127</v>
      </c>
      <c r="G42" s="24" t="s">
        <v>20</v>
      </c>
      <c r="H42" s="33"/>
      <c r="I42" s="24" t="s">
        <v>20</v>
      </c>
      <c r="J42" s="33" t="s">
        <v>128</v>
      </c>
      <c r="K42" s="23"/>
      <c r="L42" s="21"/>
      <c r="M42" s="23"/>
      <c r="N42" s="21"/>
      <c r="O42" s="23"/>
      <c r="P42" s="21"/>
    </row>
    <row r="43" spans="1:16" ht="135">
      <c r="A43" s="6" t="s">
        <v>123</v>
      </c>
      <c r="B43" s="2" t="s">
        <v>53</v>
      </c>
      <c r="C43" s="2">
        <v>5</v>
      </c>
      <c r="D43" s="18" t="s">
        <v>63</v>
      </c>
      <c r="E43" s="18" t="s">
        <v>63</v>
      </c>
      <c r="F43" s="5" t="s">
        <v>129</v>
      </c>
      <c r="G43" s="23"/>
      <c r="H43" s="21"/>
      <c r="I43" s="24" t="s">
        <v>20</v>
      </c>
      <c r="J43" s="33" t="s">
        <v>130</v>
      </c>
      <c r="K43" s="23"/>
      <c r="L43" s="21"/>
      <c r="M43" s="23"/>
      <c r="N43" s="21"/>
      <c r="O43" s="23"/>
      <c r="P43" s="21"/>
    </row>
    <row r="44" spans="1:16" ht="150">
      <c r="A44" s="6" t="s">
        <v>123</v>
      </c>
      <c r="B44" s="2" t="s">
        <v>53</v>
      </c>
      <c r="C44" s="2">
        <v>6</v>
      </c>
      <c r="D44" s="18" t="s">
        <v>63</v>
      </c>
      <c r="E44" s="18" t="s">
        <v>63</v>
      </c>
      <c r="F44" s="5" t="s">
        <v>131</v>
      </c>
      <c r="G44" s="24" t="s">
        <v>20</v>
      </c>
      <c r="H44" s="33" t="s">
        <v>125</v>
      </c>
      <c r="I44" s="23"/>
      <c r="J44" s="21"/>
      <c r="K44" s="23"/>
      <c r="L44" s="21"/>
      <c r="M44" s="23"/>
      <c r="N44" s="21"/>
      <c r="O44" s="24" t="s">
        <v>20</v>
      </c>
      <c r="P44" s="33" t="s">
        <v>132</v>
      </c>
    </row>
    <row r="45" spans="1:16" ht="120">
      <c r="A45" s="6" t="s">
        <v>123</v>
      </c>
      <c r="B45" s="2" t="s">
        <v>62</v>
      </c>
      <c r="C45" s="2">
        <v>7</v>
      </c>
      <c r="D45" s="18" t="s">
        <v>77</v>
      </c>
      <c r="E45" s="18" t="s">
        <v>3</v>
      </c>
      <c r="F45" s="5" t="s">
        <v>78</v>
      </c>
      <c r="G45" s="24" t="s">
        <v>20</v>
      </c>
      <c r="H45" s="33" t="s">
        <v>79</v>
      </c>
      <c r="I45" s="23"/>
      <c r="J45" s="21"/>
      <c r="K45" s="23"/>
      <c r="L45" s="21"/>
      <c r="M45" s="23"/>
      <c r="N45" s="21"/>
      <c r="O45" s="23"/>
      <c r="P45" s="21"/>
    </row>
    <row r="46" spans="1:16" ht="135">
      <c r="A46" s="6" t="s">
        <v>133</v>
      </c>
      <c r="B46" s="2" t="s">
        <v>53</v>
      </c>
      <c r="C46" s="2">
        <v>1</v>
      </c>
      <c r="D46" s="18" t="s">
        <v>54</v>
      </c>
      <c r="E46" s="18" t="s">
        <v>3</v>
      </c>
      <c r="F46" s="5" t="s">
        <v>55</v>
      </c>
      <c r="G46" s="24" t="s">
        <v>20</v>
      </c>
      <c r="H46" s="33" t="s">
        <v>56</v>
      </c>
      <c r="I46" s="24" t="s">
        <v>20</v>
      </c>
      <c r="J46" s="33" t="s">
        <v>57</v>
      </c>
      <c r="K46" s="23"/>
      <c r="L46" s="21"/>
      <c r="M46" s="23"/>
      <c r="N46" s="21"/>
      <c r="O46" s="23"/>
      <c r="P46" s="21"/>
    </row>
    <row r="47" spans="1:16" ht="90">
      <c r="A47" s="6" t="s">
        <v>133</v>
      </c>
      <c r="B47" s="2" t="s">
        <v>53</v>
      </c>
      <c r="C47" s="2">
        <v>2</v>
      </c>
      <c r="D47" s="18" t="s">
        <v>58</v>
      </c>
      <c r="E47" s="18" t="s">
        <v>3</v>
      </c>
      <c r="F47" s="5" t="s">
        <v>59</v>
      </c>
      <c r="G47" s="24" t="s">
        <v>20</v>
      </c>
      <c r="H47" s="33" t="s">
        <v>60</v>
      </c>
      <c r="I47" s="24"/>
      <c r="J47" s="25"/>
      <c r="K47" s="23"/>
      <c r="L47" s="21"/>
      <c r="M47" s="23"/>
      <c r="N47" s="21"/>
      <c r="O47" s="24" t="s">
        <v>20</v>
      </c>
      <c r="P47" s="33" t="s">
        <v>61</v>
      </c>
    </row>
    <row r="48" spans="1:16" ht="90">
      <c r="A48" s="6" t="s">
        <v>133</v>
      </c>
      <c r="B48" s="2" t="s">
        <v>53</v>
      </c>
      <c r="C48" s="2">
        <v>3</v>
      </c>
      <c r="D48" s="18" t="s">
        <v>63</v>
      </c>
      <c r="E48" s="18" t="s">
        <v>63</v>
      </c>
      <c r="F48" s="5" t="s">
        <v>134</v>
      </c>
      <c r="G48" s="24" t="s">
        <v>20</v>
      </c>
      <c r="H48" s="33" t="s">
        <v>135</v>
      </c>
      <c r="I48" s="24"/>
      <c r="J48" s="25"/>
      <c r="K48" s="23"/>
      <c r="L48" s="21"/>
      <c r="M48" s="23"/>
      <c r="N48" s="21"/>
      <c r="O48" s="24" t="s">
        <v>20</v>
      </c>
      <c r="P48" s="33" t="s">
        <v>136</v>
      </c>
    </row>
    <row r="49" spans="1:16" ht="135">
      <c r="A49" s="6" t="s">
        <v>133</v>
      </c>
      <c r="B49" s="2" t="s">
        <v>53</v>
      </c>
      <c r="C49" s="2">
        <v>4</v>
      </c>
      <c r="D49" s="18" t="s">
        <v>63</v>
      </c>
      <c r="E49" s="18" t="s">
        <v>63</v>
      </c>
      <c r="F49" s="5" t="s">
        <v>137</v>
      </c>
      <c r="G49" s="24"/>
      <c r="H49" s="25"/>
      <c r="I49" s="24" t="s">
        <v>20</v>
      </c>
      <c r="J49" s="33" t="s">
        <v>138</v>
      </c>
      <c r="K49" s="23"/>
      <c r="L49" s="21"/>
      <c r="M49" s="23"/>
      <c r="N49" s="21"/>
      <c r="O49" s="24" t="s">
        <v>20</v>
      </c>
      <c r="P49" s="33" t="s">
        <v>139</v>
      </c>
    </row>
    <row r="50" spans="1:16" ht="105">
      <c r="A50" s="6" t="s">
        <v>133</v>
      </c>
      <c r="B50" s="2" t="s">
        <v>53</v>
      </c>
      <c r="C50" s="2">
        <v>5</v>
      </c>
      <c r="D50" s="18" t="s">
        <v>63</v>
      </c>
      <c r="E50" s="18" t="s">
        <v>63</v>
      </c>
      <c r="F50" s="5" t="s">
        <v>140</v>
      </c>
      <c r="G50" s="23"/>
      <c r="H50" s="21"/>
      <c r="I50" s="26" t="s">
        <v>20</v>
      </c>
      <c r="J50" s="33" t="s">
        <v>141</v>
      </c>
      <c r="K50" s="23"/>
      <c r="L50" s="21"/>
      <c r="M50" s="24" t="s">
        <v>20</v>
      </c>
      <c r="N50" s="33" t="s">
        <v>142</v>
      </c>
      <c r="O50" s="24" t="s">
        <v>20</v>
      </c>
      <c r="P50" s="33" t="s">
        <v>143</v>
      </c>
    </row>
    <row r="51" spans="1:16" ht="105">
      <c r="A51" s="6" t="s">
        <v>133</v>
      </c>
      <c r="B51" s="2" t="s">
        <v>53</v>
      </c>
      <c r="C51" s="2">
        <v>6</v>
      </c>
      <c r="D51" s="18" t="s">
        <v>63</v>
      </c>
      <c r="E51" s="18" t="s">
        <v>63</v>
      </c>
      <c r="F51" s="5" t="s">
        <v>144</v>
      </c>
      <c r="G51" s="26" t="s">
        <v>20</v>
      </c>
      <c r="H51" s="33" t="s">
        <v>145</v>
      </c>
      <c r="I51" s="23"/>
      <c r="J51" s="21"/>
      <c r="K51" s="24" t="s">
        <v>20</v>
      </c>
      <c r="L51" s="33" t="s">
        <v>146</v>
      </c>
      <c r="M51" s="23"/>
      <c r="N51" s="21"/>
      <c r="O51" s="26" t="s">
        <v>20</v>
      </c>
      <c r="P51" s="33" t="s">
        <v>147</v>
      </c>
    </row>
    <row r="52" spans="1:16" ht="120">
      <c r="A52" s="6" t="s">
        <v>133</v>
      </c>
      <c r="B52" s="2" t="s">
        <v>62</v>
      </c>
      <c r="C52" s="2">
        <v>7</v>
      </c>
      <c r="D52" s="18" t="s">
        <v>77</v>
      </c>
      <c r="E52" s="18" t="s">
        <v>3</v>
      </c>
      <c r="F52" s="5" t="s">
        <v>78</v>
      </c>
      <c r="G52" s="24" t="s">
        <v>20</v>
      </c>
      <c r="H52" s="33" t="s">
        <v>79</v>
      </c>
      <c r="I52" s="23"/>
      <c r="J52" s="21"/>
      <c r="K52" s="23"/>
      <c r="L52" s="21"/>
      <c r="M52" s="23"/>
      <c r="N52" s="21"/>
      <c r="O52" s="23"/>
      <c r="P52" s="21"/>
    </row>
    <row r="53" spans="1:16" ht="135">
      <c r="A53" s="6" t="s">
        <v>148</v>
      </c>
      <c r="B53" s="2" t="s">
        <v>53</v>
      </c>
      <c r="C53" s="2">
        <v>1</v>
      </c>
      <c r="D53" s="18" t="s">
        <v>54</v>
      </c>
      <c r="E53" s="18" t="s">
        <v>3</v>
      </c>
      <c r="F53" s="5" t="s">
        <v>55</v>
      </c>
      <c r="G53" s="24" t="s">
        <v>20</v>
      </c>
      <c r="H53" s="33" t="s">
        <v>56</v>
      </c>
      <c r="I53" s="24" t="s">
        <v>20</v>
      </c>
      <c r="J53" s="33" t="s">
        <v>57</v>
      </c>
      <c r="K53" s="23"/>
      <c r="L53" s="21"/>
      <c r="M53" s="23"/>
      <c r="N53" s="21"/>
      <c r="O53" s="23"/>
      <c r="P53" s="21"/>
    </row>
    <row r="54" spans="1:16" ht="90">
      <c r="A54" s="6" t="s">
        <v>148</v>
      </c>
      <c r="B54" s="2" t="s">
        <v>53</v>
      </c>
      <c r="C54" s="2">
        <v>2</v>
      </c>
      <c r="D54" s="18" t="s">
        <v>58</v>
      </c>
      <c r="E54" s="18" t="s">
        <v>3</v>
      </c>
      <c r="F54" s="5" t="s">
        <v>59</v>
      </c>
      <c r="G54" s="24" t="s">
        <v>20</v>
      </c>
      <c r="H54" s="33" t="s">
        <v>60</v>
      </c>
      <c r="I54" s="24"/>
      <c r="J54" s="25"/>
      <c r="K54" s="23"/>
      <c r="L54" s="21"/>
      <c r="M54" s="23"/>
      <c r="N54" s="21"/>
      <c r="O54" s="24" t="s">
        <v>20</v>
      </c>
      <c r="P54" s="33" t="s">
        <v>61</v>
      </c>
    </row>
    <row r="55" spans="1:16" ht="135">
      <c r="A55" s="6" t="s">
        <v>148</v>
      </c>
      <c r="B55" s="2" t="s">
        <v>53</v>
      </c>
      <c r="C55" s="2">
        <v>3</v>
      </c>
      <c r="D55" s="18" t="s">
        <v>63</v>
      </c>
      <c r="E55" s="18" t="s">
        <v>63</v>
      </c>
      <c r="F55" s="5" t="s">
        <v>149</v>
      </c>
      <c r="G55" s="24" t="s">
        <v>20</v>
      </c>
      <c r="H55" s="38" t="s">
        <v>150</v>
      </c>
      <c r="I55" s="23"/>
      <c r="J55" s="21"/>
      <c r="K55" s="23"/>
      <c r="L55" s="21"/>
      <c r="M55" s="23"/>
      <c r="N55" s="21"/>
      <c r="O55" s="24" t="s">
        <v>20</v>
      </c>
      <c r="P55" s="38" t="s">
        <v>151</v>
      </c>
    </row>
    <row r="56" spans="1:16" ht="120">
      <c r="A56" s="6" t="s">
        <v>148</v>
      </c>
      <c r="B56" s="2" t="s">
        <v>53</v>
      </c>
      <c r="C56" s="2">
        <v>4</v>
      </c>
      <c r="D56" s="18" t="s">
        <v>63</v>
      </c>
      <c r="E56" s="18" t="s">
        <v>63</v>
      </c>
      <c r="F56" s="5" t="s">
        <v>152</v>
      </c>
      <c r="G56" s="24" t="s">
        <v>20</v>
      </c>
      <c r="H56" s="38" t="s">
        <v>153</v>
      </c>
      <c r="I56" s="24" t="s">
        <v>20</v>
      </c>
      <c r="J56" s="38" t="s">
        <v>154</v>
      </c>
      <c r="K56" s="23"/>
      <c r="L56" s="21"/>
      <c r="M56" s="23"/>
      <c r="N56" s="21"/>
      <c r="O56" s="23"/>
      <c r="P56" s="21"/>
    </row>
    <row r="57" spans="1:16" ht="409.5">
      <c r="A57" s="6" t="s">
        <v>148</v>
      </c>
      <c r="B57" s="2" t="s">
        <v>53</v>
      </c>
      <c r="C57" s="2">
        <v>5</v>
      </c>
      <c r="D57" s="18" t="s">
        <v>63</v>
      </c>
      <c r="E57" s="18" t="s">
        <v>63</v>
      </c>
      <c r="F57" s="5" t="s">
        <v>155</v>
      </c>
      <c r="G57" s="60"/>
      <c r="H57" s="61"/>
      <c r="I57" s="60"/>
      <c r="J57" s="61"/>
      <c r="K57" s="57" t="s">
        <v>20</v>
      </c>
      <c r="L57" s="58" t="s">
        <v>156</v>
      </c>
      <c r="M57" s="60"/>
      <c r="N57" s="61"/>
      <c r="O57" s="57" t="s">
        <v>20</v>
      </c>
      <c r="P57" s="58" t="s">
        <v>157</v>
      </c>
    </row>
    <row r="58" spans="1:16" ht="199.15" customHeight="1">
      <c r="A58" s="6" t="s">
        <v>148</v>
      </c>
      <c r="B58" s="2" t="s">
        <v>53</v>
      </c>
      <c r="C58" s="2">
        <v>6</v>
      </c>
      <c r="D58" s="18" t="s">
        <v>63</v>
      </c>
      <c r="E58" s="18" t="s">
        <v>63</v>
      </c>
      <c r="F58" s="5" t="s">
        <v>158</v>
      </c>
      <c r="G58" s="23"/>
      <c r="H58" s="21"/>
      <c r="I58" s="24" t="s">
        <v>20</v>
      </c>
      <c r="J58" s="38" t="s">
        <v>159</v>
      </c>
      <c r="K58" s="23"/>
      <c r="L58" s="21"/>
      <c r="M58" s="24" t="s">
        <v>20</v>
      </c>
      <c r="N58" s="38" t="s">
        <v>160</v>
      </c>
      <c r="O58" s="24" t="s">
        <v>20</v>
      </c>
      <c r="P58" s="38" t="s">
        <v>161</v>
      </c>
    </row>
    <row r="59" spans="1:16" ht="120">
      <c r="A59" s="6" t="s">
        <v>148</v>
      </c>
      <c r="B59" s="2" t="s">
        <v>62</v>
      </c>
      <c r="C59" s="2">
        <v>7</v>
      </c>
      <c r="D59" s="18" t="s">
        <v>77</v>
      </c>
      <c r="E59" s="18" t="s">
        <v>3</v>
      </c>
      <c r="F59" s="5" t="s">
        <v>78</v>
      </c>
      <c r="G59" s="24" t="s">
        <v>20</v>
      </c>
      <c r="H59" s="33" t="s">
        <v>79</v>
      </c>
      <c r="I59" s="23"/>
      <c r="J59" s="21"/>
      <c r="K59" s="23"/>
      <c r="L59" s="21"/>
      <c r="M59" s="23"/>
      <c r="N59" s="21"/>
      <c r="O59" s="23"/>
      <c r="P59" s="21"/>
    </row>
    <row r="60" spans="1:16" ht="135">
      <c r="A60" s="6" t="s">
        <v>162</v>
      </c>
      <c r="B60" s="2" t="s">
        <v>53</v>
      </c>
      <c r="C60" s="2">
        <v>1</v>
      </c>
      <c r="D60" s="18" t="s">
        <v>54</v>
      </c>
      <c r="E60" s="18" t="s">
        <v>3</v>
      </c>
      <c r="F60" s="5" t="s">
        <v>55</v>
      </c>
      <c r="G60" s="24" t="s">
        <v>20</v>
      </c>
      <c r="H60" s="33" t="s">
        <v>56</v>
      </c>
      <c r="I60" s="24" t="s">
        <v>20</v>
      </c>
      <c r="J60" s="33" t="s">
        <v>57</v>
      </c>
      <c r="K60" s="23"/>
      <c r="L60" s="21"/>
      <c r="M60" s="23"/>
      <c r="N60" s="21"/>
      <c r="O60" s="23"/>
      <c r="P60" s="21"/>
    </row>
    <row r="61" spans="1:16" ht="90">
      <c r="A61" s="6" t="s">
        <v>162</v>
      </c>
      <c r="B61" s="2" t="s">
        <v>53</v>
      </c>
      <c r="C61" s="2">
        <v>2</v>
      </c>
      <c r="D61" s="18" t="s">
        <v>58</v>
      </c>
      <c r="E61" s="18" t="s">
        <v>3</v>
      </c>
      <c r="F61" s="5" t="s">
        <v>59</v>
      </c>
      <c r="G61" s="24" t="s">
        <v>20</v>
      </c>
      <c r="H61" s="33" t="s">
        <v>60</v>
      </c>
      <c r="I61" s="24"/>
      <c r="J61" s="25"/>
      <c r="K61" s="23"/>
      <c r="L61" s="21"/>
      <c r="M61" s="23"/>
      <c r="N61" s="21"/>
      <c r="O61" s="24" t="s">
        <v>20</v>
      </c>
      <c r="P61" s="33" t="s">
        <v>61</v>
      </c>
    </row>
    <row r="62" spans="1:16" ht="179.55" customHeight="1">
      <c r="A62" s="6" t="s">
        <v>162</v>
      </c>
      <c r="B62" s="2" t="s">
        <v>53</v>
      </c>
      <c r="C62" s="2">
        <v>3</v>
      </c>
      <c r="D62" s="18" t="s">
        <v>63</v>
      </c>
      <c r="E62" s="18" t="s">
        <v>63</v>
      </c>
      <c r="F62" s="5" t="s">
        <v>163</v>
      </c>
      <c r="G62" s="24"/>
      <c r="H62" s="25"/>
      <c r="I62" s="24" t="s">
        <v>20</v>
      </c>
      <c r="J62" s="33" t="s">
        <v>164</v>
      </c>
      <c r="K62" s="23"/>
      <c r="L62" s="21"/>
      <c r="M62" s="23"/>
      <c r="N62" s="21"/>
      <c r="O62" s="24" t="s">
        <v>20</v>
      </c>
      <c r="P62" s="33" t="s">
        <v>165</v>
      </c>
    </row>
    <row r="63" spans="1:16" ht="135">
      <c r="A63" s="6" t="s">
        <v>162</v>
      </c>
      <c r="B63" s="2" t="s">
        <v>53</v>
      </c>
      <c r="C63" s="2">
        <v>4</v>
      </c>
      <c r="D63" s="18" t="s">
        <v>63</v>
      </c>
      <c r="E63" s="18" t="s">
        <v>63</v>
      </c>
      <c r="F63" s="5" t="s">
        <v>166</v>
      </c>
      <c r="G63" s="57"/>
      <c r="H63" s="58"/>
      <c r="I63" s="60"/>
      <c r="J63" s="61"/>
      <c r="K63" s="60"/>
      <c r="L63" s="61"/>
      <c r="M63" s="57" t="s">
        <v>20</v>
      </c>
      <c r="N63" s="58" t="s">
        <v>167</v>
      </c>
      <c r="O63" s="57" t="s">
        <v>20</v>
      </c>
      <c r="P63" s="58" t="s">
        <v>168</v>
      </c>
    </row>
    <row r="64" spans="1:16" ht="135">
      <c r="A64" s="6" t="s">
        <v>162</v>
      </c>
      <c r="B64" s="2" t="s">
        <v>53</v>
      </c>
      <c r="C64" s="2">
        <v>5</v>
      </c>
      <c r="D64" s="18" t="s">
        <v>63</v>
      </c>
      <c r="E64" s="18" t="s">
        <v>63</v>
      </c>
      <c r="F64" s="5" t="s">
        <v>169</v>
      </c>
      <c r="G64" s="23"/>
      <c r="H64" s="21"/>
      <c r="I64" s="23"/>
      <c r="J64" s="21"/>
      <c r="K64" s="23"/>
      <c r="L64" s="21"/>
      <c r="M64" s="23"/>
      <c r="N64" s="21"/>
      <c r="O64" s="24" t="s">
        <v>20</v>
      </c>
      <c r="P64" s="33" t="s">
        <v>170</v>
      </c>
    </row>
    <row r="65" spans="1:16" ht="135">
      <c r="A65" s="6" t="s">
        <v>162</v>
      </c>
      <c r="B65" s="2" t="s">
        <v>53</v>
      </c>
      <c r="C65" s="2">
        <v>6</v>
      </c>
      <c r="D65" s="18" t="s">
        <v>63</v>
      </c>
      <c r="E65" s="18" t="s">
        <v>63</v>
      </c>
      <c r="F65" s="5" t="s">
        <v>171</v>
      </c>
      <c r="G65" s="23"/>
      <c r="H65" s="21"/>
      <c r="I65" s="24" t="s">
        <v>20</v>
      </c>
      <c r="J65" s="33" t="s">
        <v>172</v>
      </c>
      <c r="K65" s="23"/>
      <c r="L65" s="21"/>
      <c r="M65" s="24" t="s">
        <v>20</v>
      </c>
      <c r="N65" s="33" t="s">
        <v>173</v>
      </c>
      <c r="O65" s="24" t="s">
        <v>20</v>
      </c>
      <c r="P65" s="33" t="s">
        <v>174</v>
      </c>
    </row>
    <row r="66" spans="1:16" ht="120">
      <c r="A66" s="6" t="s">
        <v>162</v>
      </c>
      <c r="B66" s="2" t="s">
        <v>62</v>
      </c>
      <c r="C66" s="2">
        <v>7</v>
      </c>
      <c r="D66" s="18" t="s">
        <v>77</v>
      </c>
      <c r="E66" s="18" t="s">
        <v>3</v>
      </c>
      <c r="F66" s="5" t="s">
        <v>78</v>
      </c>
      <c r="G66" s="24" t="s">
        <v>20</v>
      </c>
      <c r="H66" s="33" t="s">
        <v>79</v>
      </c>
      <c r="I66" s="23"/>
      <c r="J66" s="21"/>
      <c r="K66" s="23"/>
      <c r="L66" s="21"/>
      <c r="M66" s="23"/>
      <c r="N66" s="21"/>
      <c r="O66" s="23"/>
      <c r="P66" s="21"/>
    </row>
    <row r="67" spans="1:16" ht="135">
      <c r="A67" s="6" t="s">
        <v>175</v>
      </c>
      <c r="B67" s="2" t="s">
        <v>53</v>
      </c>
      <c r="C67" s="2">
        <v>1</v>
      </c>
      <c r="D67" s="18" t="s">
        <v>54</v>
      </c>
      <c r="E67" s="18" t="s">
        <v>3</v>
      </c>
      <c r="F67" s="5" t="s">
        <v>55</v>
      </c>
      <c r="G67" s="24" t="s">
        <v>20</v>
      </c>
      <c r="H67" s="33" t="s">
        <v>56</v>
      </c>
      <c r="I67" s="24" t="s">
        <v>20</v>
      </c>
      <c r="J67" s="33" t="s">
        <v>57</v>
      </c>
      <c r="K67" s="23"/>
      <c r="L67" s="21"/>
      <c r="M67" s="23"/>
      <c r="N67" s="21"/>
      <c r="O67" s="23"/>
      <c r="P67" s="21"/>
    </row>
    <row r="68" spans="1:16" ht="90">
      <c r="A68" s="6" t="s">
        <v>175</v>
      </c>
      <c r="B68" s="2" t="s">
        <v>53</v>
      </c>
      <c r="C68" s="2">
        <v>2</v>
      </c>
      <c r="D68" s="18" t="s">
        <v>58</v>
      </c>
      <c r="E68" s="18" t="s">
        <v>3</v>
      </c>
      <c r="F68" s="5" t="s">
        <v>59</v>
      </c>
      <c r="G68" s="24" t="s">
        <v>20</v>
      </c>
      <c r="H68" s="33" t="s">
        <v>60</v>
      </c>
      <c r="I68" s="24"/>
      <c r="J68" s="25"/>
      <c r="K68" s="23"/>
      <c r="L68" s="21"/>
      <c r="M68" s="23"/>
      <c r="N68" s="21"/>
      <c r="O68" s="24" t="s">
        <v>20</v>
      </c>
      <c r="P68" s="33" t="s">
        <v>61</v>
      </c>
    </row>
    <row r="69" spans="1:16" ht="162" customHeight="1">
      <c r="A69" s="6" t="s">
        <v>175</v>
      </c>
      <c r="B69" s="2" t="s">
        <v>53</v>
      </c>
      <c r="C69" s="2">
        <v>3</v>
      </c>
      <c r="D69" s="18" t="s">
        <v>63</v>
      </c>
      <c r="E69" s="18" t="s">
        <v>63</v>
      </c>
      <c r="F69" s="5" t="s">
        <v>176</v>
      </c>
      <c r="G69" s="24"/>
      <c r="H69" s="38"/>
      <c r="I69" s="24" t="s">
        <v>20</v>
      </c>
      <c r="J69" s="38" t="s">
        <v>177</v>
      </c>
      <c r="K69" s="24" t="s">
        <v>20</v>
      </c>
      <c r="L69" s="38" t="s">
        <v>178</v>
      </c>
      <c r="M69" s="23"/>
      <c r="N69" s="21"/>
      <c r="O69" s="23"/>
      <c r="P69" s="21"/>
    </row>
    <row r="70" spans="1:16" ht="135">
      <c r="A70" s="6" t="s">
        <v>175</v>
      </c>
      <c r="B70" s="2" t="s">
        <v>53</v>
      </c>
      <c r="C70" s="2">
        <v>4</v>
      </c>
      <c r="D70" s="18" t="s">
        <v>63</v>
      </c>
      <c r="E70" s="18" t="s">
        <v>63</v>
      </c>
      <c r="F70" s="5" t="s">
        <v>179</v>
      </c>
      <c r="G70" s="23"/>
      <c r="H70" s="21"/>
      <c r="I70" s="24" t="s">
        <v>20</v>
      </c>
      <c r="J70" s="38" t="s">
        <v>180</v>
      </c>
      <c r="K70" s="23"/>
      <c r="L70" s="21"/>
      <c r="M70" s="23"/>
      <c r="N70" s="21"/>
      <c r="O70" s="24" t="s">
        <v>20</v>
      </c>
      <c r="P70" s="38" t="s">
        <v>181</v>
      </c>
    </row>
    <row r="71" spans="1:16" ht="135">
      <c r="A71" s="6" t="s">
        <v>175</v>
      </c>
      <c r="B71" s="2" t="s">
        <v>53</v>
      </c>
      <c r="C71" s="2">
        <v>5</v>
      </c>
      <c r="D71" s="18" t="s">
        <v>63</v>
      </c>
      <c r="E71" s="18" t="s">
        <v>63</v>
      </c>
      <c r="F71" s="5" t="s">
        <v>182</v>
      </c>
      <c r="G71" s="23"/>
      <c r="H71" s="21"/>
      <c r="I71" s="24" t="s">
        <v>20</v>
      </c>
      <c r="J71" s="38" t="s">
        <v>183</v>
      </c>
      <c r="K71" s="23"/>
      <c r="L71" s="21"/>
      <c r="M71" s="23"/>
      <c r="N71" s="21"/>
      <c r="O71" s="24" t="s">
        <v>20</v>
      </c>
      <c r="P71" s="38" t="s">
        <v>184</v>
      </c>
    </row>
    <row r="72" spans="1:16" ht="120">
      <c r="A72" s="6" t="s">
        <v>175</v>
      </c>
      <c r="B72" s="2" t="s">
        <v>53</v>
      </c>
      <c r="C72" s="2">
        <v>6</v>
      </c>
      <c r="D72" s="18" t="s">
        <v>63</v>
      </c>
      <c r="E72" s="18" t="s">
        <v>63</v>
      </c>
      <c r="F72" s="5" t="s">
        <v>185</v>
      </c>
      <c r="G72" s="23"/>
      <c r="H72" s="21"/>
      <c r="I72" s="23"/>
      <c r="J72" s="21"/>
      <c r="K72" s="23"/>
      <c r="L72" s="21"/>
      <c r="M72" s="23"/>
      <c r="N72" s="21"/>
      <c r="O72" s="24" t="s">
        <v>20</v>
      </c>
      <c r="P72" s="38" t="s">
        <v>186</v>
      </c>
    </row>
    <row r="73" spans="1:16" ht="120">
      <c r="A73" s="6" t="s">
        <v>175</v>
      </c>
      <c r="B73" s="2" t="s">
        <v>62</v>
      </c>
      <c r="C73" s="2">
        <v>7</v>
      </c>
      <c r="D73" s="18" t="s">
        <v>77</v>
      </c>
      <c r="E73" s="18" t="s">
        <v>3</v>
      </c>
      <c r="F73" s="5" t="s">
        <v>78</v>
      </c>
      <c r="G73" s="24" t="s">
        <v>20</v>
      </c>
      <c r="H73" s="33" t="s">
        <v>79</v>
      </c>
      <c r="I73" s="23"/>
      <c r="J73" s="21"/>
      <c r="K73" s="23"/>
      <c r="L73" s="21"/>
      <c r="M73" s="23"/>
      <c r="N73" s="21"/>
      <c r="O73" s="23"/>
      <c r="P73" s="21"/>
    </row>
    <row r="74" spans="1:16" ht="189" customHeight="1">
      <c r="A74" s="6" t="s">
        <v>187</v>
      </c>
      <c r="B74" s="2" t="s">
        <v>53</v>
      </c>
      <c r="C74" s="2">
        <v>1</v>
      </c>
      <c r="D74" s="18" t="s">
        <v>54</v>
      </c>
      <c r="E74" s="18" t="s">
        <v>3</v>
      </c>
      <c r="F74" s="5" t="s">
        <v>55</v>
      </c>
      <c r="G74" s="24" t="s">
        <v>20</v>
      </c>
      <c r="H74" s="33" t="s">
        <v>56</v>
      </c>
      <c r="I74" s="24" t="s">
        <v>20</v>
      </c>
      <c r="J74" s="33" t="s">
        <v>57</v>
      </c>
      <c r="K74" s="23"/>
      <c r="L74" s="21"/>
      <c r="M74" s="23"/>
      <c r="N74" s="21"/>
      <c r="O74" s="23"/>
      <c r="P74" s="21"/>
    </row>
    <row r="75" spans="1:16" ht="106.9" customHeight="1">
      <c r="A75" s="6" t="s">
        <v>187</v>
      </c>
      <c r="B75" s="2" t="s">
        <v>53</v>
      </c>
      <c r="C75" s="2">
        <v>2</v>
      </c>
      <c r="D75" s="18" t="s">
        <v>58</v>
      </c>
      <c r="E75" s="18" t="s">
        <v>3</v>
      </c>
      <c r="F75" s="5" t="s">
        <v>59</v>
      </c>
      <c r="G75" s="24" t="s">
        <v>20</v>
      </c>
      <c r="H75" s="33" t="s">
        <v>60</v>
      </c>
      <c r="I75" s="24"/>
      <c r="J75" s="25"/>
      <c r="K75" s="23"/>
      <c r="L75" s="21"/>
      <c r="M75" s="23"/>
      <c r="N75" s="21"/>
      <c r="O75" s="24" t="s">
        <v>20</v>
      </c>
      <c r="P75" s="33" t="s">
        <v>61</v>
      </c>
    </row>
    <row r="76" spans="1:16" ht="120">
      <c r="A76" s="6" t="s">
        <v>187</v>
      </c>
      <c r="B76" s="2" t="s">
        <v>53</v>
      </c>
      <c r="C76" s="2">
        <v>3</v>
      </c>
      <c r="D76" s="18" t="s">
        <v>63</v>
      </c>
      <c r="E76" s="18" t="s">
        <v>63</v>
      </c>
      <c r="F76" s="5" t="s">
        <v>188</v>
      </c>
      <c r="G76" s="22" t="s">
        <v>189</v>
      </c>
      <c r="H76" s="43" t="s">
        <v>190</v>
      </c>
      <c r="I76" s="31" t="s">
        <v>189</v>
      </c>
      <c r="J76" s="43" t="s">
        <v>191</v>
      </c>
      <c r="K76" s="35"/>
      <c r="L76" s="34"/>
      <c r="M76" s="35"/>
      <c r="N76" s="34"/>
      <c r="O76" s="28"/>
      <c r="P76" s="37"/>
    </row>
    <row r="77" spans="1:16" ht="150">
      <c r="A77" s="6" t="s">
        <v>187</v>
      </c>
      <c r="B77" s="2" t="s">
        <v>53</v>
      </c>
      <c r="C77" s="2">
        <v>4</v>
      </c>
      <c r="D77" s="18" t="s">
        <v>63</v>
      </c>
      <c r="E77" s="18" t="s">
        <v>63</v>
      </c>
      <c r="F77" s="5" t="s">
        <v>192</v>
      </c>
      <c r="G77" s="29"/>
      <c r="H77" s="30"/>
      <c r="I77" s="35"/>
      <c r="J77" s="34"/>
      <c r="K77" s="28"/>
      <c r="L77" s="30"/>
      <c r="M77" s="31" t="s">
        <v>189</v>
      </c>
      <c r="N77" s="43" t="s">
        <v>193</v>
      </c>
      <c r="O77" s="31" t="s">
        <v>189</v>
      </c>
      <c r="P77" s="43" t="s">
        <v>194</v>
      </c>
    </row>
    <row r="78" spans="1:16" ht="105">
      <c r="A78" s="6" t="s">
        <v>187</v>
      </c>
      <c r="B78" s="2" t="s">
        <v>53</v>
      </c>
      <c r="C78" s="2">
        <v>5</v>
      </c>
      <c r="D78" s="18" t="s">
        <v>63</v>
      </c>
      <c r="E78" s="18" t="s">
        <v>63</v>
      </c>
      <c r="F78" s="5" t="s">
        <v>195</v>
      </c>
      <c r="G78" s="29"/>
      <c r="H78" s="30"/>
      <c r="I78" s="28"/>
      <c r="J78" s="30"/>
      <c r="K78" s="35"/>
      <c r="L78" s="34"/>
      <c r="M78" s="31" t="s">
        <v>189</v>
      </c>
      <c r="N78" s="44" t="s">
        <v>196</v>
      </c>
      <c r="O78" s="31" t="s">
        <v>189</v>
      </c>
      <c r="P78" s="43" t="s">
        <v>197</v>
      </c>
    </row>
    <row r="79" spans="1:16" ht="120">
      <c r="A79" s="6" t="s">
        <v>187</v>
      </c>
      <c r="B79" s="2" t="s">
        <v>53</v>
      </c>
      <c r="C79" s="2">
        <v>6</v>
      </c>
      <c r="D79" s="18" t="s">
        <v>63</v>
      </c>
      <c r="E79" s="18" t="s">
        <v>63</v>
      </c>
      <c r="F79" s="5" t="s">
        <v>198</v>
      </c>
      <c r="G79" s="22" t="s">
        <v>189</v>
      </c>
      <c r="H79" s="43" t="s">
        <v>199</v>
      </c>
      <c r="I79" s="28"/>
      <c r="J79" s="30"/>
      <c r="K79" s="31" t="s">
        <v>189</v>
      </c>
      <c r="L79" s="43" t="s">
        <v>200</v>
      </c>
      <c r="M79" s="35"/>
      <c r="N79" s="34"/>
      <c r="O79" s="28"/>
      <c r="P79" s="37"/>
    </row>
    <row r="80" spans="1:16" ht="120">
      <c r="A80" s="6" t="s">
        <v>187</v>
      </c>
      <c r="B80" s="2" t="s">
        <v>62</v>
      </c>
      <c r="C80" s="2">
        <v>7</v>
      </c>
      <c r="D80" s="18" t="s">
        <v>77</v>
      </c>
      <c r="E80" s="18" t="s">
        <v>3</v>
      </c>
      <c r="F80" s="5" t="s">
        <v>78</v>
      </c>
      <c r="G80" s="24" t="s">
        <v>20</v>
      </c>
      <c r="H80" s="33" t="s">
        <v>79</v>
      </c>
      <c r="I80" s="23"/>
      <c r="J80" s="21"/>
      <c r="K80" s="23"/>
      <c r="L80" s="21"/>
      <c r="M80" s="23"/>
      <c r="N80" s="21"/>
      <c r="O80" s="23"/>
      <c r="P80" s="21"/>
    </row>
    <row r="81" spans="1:16" ht="135">
      <c r="A81" s="6" t="s">
        <v>52</v>
      </c>
      <c r="B81" s="2" t="s">
        <v>201</v>
      </c>
      <c r="C81" s="2">
        <v>1</v>
      </c>
      <c r="D81" s="18" t="s">
        <v>202</v>
      </c>
      <c r="E81" s="18" t="s">
        <v>3</v>
      </c>
      <c r="F81" s="5" t="s">
        <v>203</v>
      </c>
      <c r="G81" s="24" t="s">
        <v>20</v>
      </c>
      <c r="H81" s="33" t="s">
        <v>204</v>
      </c>
      <c r="I81" s="23"/>
      <c r="J81" s="21"/>
      <c r="K81" s="23"/>
      <c r="L81" s="21"/>
      <c r="M81" s="23"/>
      <c r="N81" s="21"/>
      <c r="O81" s="24" t="s">
        <v>20</v>
      </c>
      <c r="P81" s="33" t="s">
        <v>205</v>
      </c>
    </row>
    <row r="82" spans="1:16" ht="165">
      <c r="A82" s="6" t="s">
        <v>52</v>
      </c>
      <c r="B82" s="2" t="s">
        <v>201</v>
      </c>
      <c r="C82" s="2">
        <v>2</v>
      </c>
      <c r="D82" s="18" t="s">
        <v>63</v>
      </c>
      <c r="E82" s="18" t="s">
        <v>63</v>
      </c>
      <c r="F82" s="5" t="s">
        <v>206</v>
      </c>
      <c r="G82" s="24"/>
      <c r="H82" s="25"/>
      <c r="I82" s="24"/>
      <c r="J82" s="25"/>
      <c r="K82" s="24" t="s">
        <v>20</v>
      </c>
      <c r="L82" s="33" t="s">
        <v>207</v>
      </c>
      <c r="M82" s="24" t="s">
        <v>20</v>
      </c>
      <c r="N82" s="33" t="s">
        <v>208</v>
      </c>
      <c r="O82" s="24" t="s">
        <v>20</v>
      </c>
      <c r="P82" s="33" t="s">
        <v>209</v>
      </c>
    </row>
    <row r="83" spans="1:16" ht="165">
      <c r="A83" s="6" t="s">
        <v>52</v>
      </c>
      <c r="B83" s="2" t="s">
        <v>201</v>
      </c>
      <c r="C83" s="2">
        <v>3</v>
      </c>
      <c r="D83" s="18" t="s">
        <v>63</v>
      </c>
      <c r="E83" s="18" t="s">
        <v>63</v>
      </c>
      <c r="F83" s="5" t="s">
        <v>210</v>
      </c>
      <c r="G83" s="24"/>
      <c r="H83" s="25"/>
      <c r="I83" s="24" t="s">
        <v>20</v>
      </c>
      <c r="J83" s="33" t="s">
        <v>211</v>
      </c>
      <c r="K83" s="24"/>
      <c r="L83" s="25"/>
      <c r="M83" s="23"/>
      <c r="N83" s="21"/>
      <c r="O83" s="24" t="s">
        <v>20</v>
      </c>
      <c r="P83" s="33" t="s">
        <v>83</v>
      </c>
    </row>
    <row r="84" spans="1:16" ht="180">
      <c r="A84" s="6" t="s">
        <v>52</v>
      </c>
      <c r="B84" s="2" t="s">
        <v>201</v>
      </c>
      <c r="C84" s="2">
        <v>4</v>
      </c>
      <c r="D84" s="18" t="s">
        <v>212</v>
      </c>
      <c r="E84" s="18" t="s">
        <v>3</v>
      </c>
      <c r="F84" s="5" t="s">
        <v>213</v>
      </c>
      <c r="G84" s="24" t="s">
        <v>20</v>
      </c>
      <c r="H84" s="33" t="s">
        <v>214</v>
      </c>
      <c r="I84" s="24" t="s">
        <v>20</v>
      </c>
      <c r="J84" s="33" t="s">
        <v>215</v>
      </c>
      <c r="K84" s="23"/>
      <c r="L84" s="21"/>
      <c r="M84" s="23"/>
      <c r="N84" s="21"/>
      <c r="O84" s="24" t="s">
        <v>20</v>
      </c>
      <c r="P84" s="33" t="s">
        <v>216</v>
      </c>
    </row>
    <row r="85" spans="1:16" ht="120">
      <c r="A85" s="6" t="s">
        <v>52</v>
      </c>
      <c r="B85" s="2" t="s">
        <v>201</v>
      </c>
      <c r="C85" s="2">
        <v>5</v>
      </c>
      <c r="D85" s="18" t="s">
        <v>63</v>
      </c>
      <c r="E85" s="18" t="s">
        <v>63</v>
      </c>
      <c r="F85" s="5" t="s">
        <v>217</v>
      </c>
      <c r="G85" s="24" t="s">
        <v>20</v>
      </c>
      <c r="H85" s="33" t="s">
        <v>218</v>
      </c>
      <c r="I85" s="23"/>
      <c r="J85" s="21"/>
      <c r="K85" s="23"/>
      <c r="L85" s="21"/>
      <c r="M85" s="23"/>
      <c r="N85" s="21"/>
      <c r="O85" s="23"/>
      <c r="P85" s="21"/>
    </row>
    <row r="86" spans="1:16" ht="120">
      <c r="A86" s="6" t="s">
        <v>52</v>
      </c>
      <c r="B86" s="2" t="s">
        <v>201</v>
      </c>
      <c r="C86" s="2">
        <v>6</v>
      </c>
      <c r="D86" s="18" t="s">
        <v>63</v>
      </c>
      <c r="E86" s="18" t="s">
        <v>63</v>
      </c>
      <c r="F86" s="5" t="s">
        <v>219</v>
      </c>
      <c r="G86" s="24" t="s">
        <v>20</v>
      </c>
      <c r="H86" s="33" t="s">
        <v>220</v>
      </c>
      <c r="I86" s="24" t="s">
        <v>20</v>
      </c>
      <c r="J86" s="33" t="s">
        <v>221</v>
      </c>
      <c r="K86" s="23"/>
      <c r="L86" s="21"/>
      <c r="M86" s="23"/>
      <c r="N86" s="21"/>
      <c r="O86" s="23"/>
      <c r="P86" s="21"/>
    </row>
    <row r="87" spans="1:16" ht="135">
      <c r="A87" s="6" t="s">
        <v>52</v>
      </c>
      <c r="B87" s="2" t="s">
        <v>201</v>
      </c>
      <c r="C87" s="2">
        <v>7</v>
      </c>
      <c r="D87" s="18" t="s">
        <v>222</v>
      </c>
      <c r="E87" s="18" t="s">
        <v>3</v>
      </c>
      <c r="F87" s="5" t="s">
        <v>223</v>
      </c>
      <c r="G87" s="23"/>
      <c r="H87" s="21"/>
      <c r="I87" s="23"/>
      <c r="J87" s="21"/>
      <c r="K87" s="24" t="s">
        <v>20</v>
      </c>
      <c r="L87" s="33" t="s">
        <v>224</v>
      </c>
      <c r="M87" s="24" t="s">
        <v>20</v>
      </c>
      <c r="N87" s="33" t="s">
        <v>225</v>
      </c>
      <c r="O87" s="24" t="s">
        <v>20</v>
      </c>
      <c r="P87" s="33" t="s">
        <v>226</v>
      </c>
    </row>
    <row r="88" spans="1:16" ht="135">
      <c r="A88" s="6" t="s">
        <v>80</v>
      </c>
      <c r="B88" s="2" t="s">
        <v>201</v>
      </c>
      <c r="C88" s="2">
        <v>1</v>
      </c>
      <c r="D88" s="18" t="s">
        <v>202</v>
      </c>
      <c r="E88" s="18" t="s">
        <v>3</v>
      </c>
      <c r="F88" s="5" t="s">
        <v>203</v>
      </c>
      <c r="G88" s="24" t="s">
        <v>20</v>
      </c>
      <c r="H88" s="33" t="s">
        <v>204</v>
      </c>
      <c r="I88" s="23"/>
      <c r="J88" s="21"/>
      <c r="K88" s="23"/>
      <c r="L88" s="21"/>
      <c r="M88" s="23"/>
      <c r="N88" s="21"/>
      <c r="O88" s="24" t="s">
        <v>20</v>
      </c>
      <c r="P88" s="33" t="s">
        <v>205</v>
      </c>
    </row>
    <row r="89" spans="1:16" ht="180">
      <c r="A89" s="6" t="s">
        <v>80</v>
      </c>
      <c r="B89" s="2" t="s">
        <v>227</v>
      </c>
      <c r="C89" s="2">
        <v>2</v>
      </c>
      <c r="D89" s="18" t="s">
        <v>212</v>
      </c>
      <c r="E89" s="18" t="s">
        <v>3</v>
      </c>
      <c r="F89" s="5" t="s">
        <v>213</v>
      </c>
      <c r="G89" s="24" t="s">
        <v>20</v>
      </c>
      <c r="H89" s="33" t="s">
        <v>214</v>
      </c>
      <c r="I89" s="24" t="s">
        <v>20</v>
      </c>
      <c r="J89" s="33" t="s">
        <v>215</v>
      </c>
      <c r="K89" s="23"/>
      <c r="L89" s="21"/>
      <c r="M89" s="23"/>
      <c r="N89" s="21"/>
      <c r="O89" s="24" t="s">
        <v>20</v>
      </c>
      <c r="P89" s="33" t="s">
        <v>216</v>
      </c>
    </row>
    <row r="90" spans="1:16" ht="135">
      <c r="A90" s="6" t="s">
        <v>80</v>
      </c>
      <c r="B90" s="6" t="s">
        <v>201</v>
      </c>
      <c r="C90" s="2">
        <v>3</v>
      </c>
      <c r="D90" s="18" t="s">
        <v>63</v>
      </c>
      <c r="E90" s="18" t="s">
        <v>63</v>
      </c>
      <c r="F90" s="5" t="s">
        <v>228</v>
      </c>
      <c r="G90" s="24" t="s">
        <v>20</v>
      </c>
      <c r="H90" s="33" t="s">
        <v>85</v>
      </c>
      <c r="I90" s="23"/>
      <c r="J90" s="21"/>
      <c r="K90" s="23"/>
      <c r="L90" s="21"/>
      <c r="M90" s="23"/>
      <c r="N90" s="21"/>
      <c r="O90" s="23"/>
      <c r="P90" s="21"/>
    </row>
    <row r="91" spans="1:16" ht="135">
      <c r="A91" s="6" t="s">
        <v>80</v>
      </c>
      <c r="B91" s="2" t="s">
        <v>227</v>
      </c>
      <c r="C91" s="2">
        <v>4</v>
      </c>
      <c r="D91" s="18" t="s">
        <v>63</v>
      </c>
      <c r="E91" s="18" t="s">
        <v>63</v>
      </c>
      <c r="F91" s="5" t="s">
        <v>229</v>
      </c>
      <c r="G91" s="24" t="s">
        <v>20</v>
      </c>
      <c r="H91" s="33" t="s">
        <v>230</v>
      </c>
      <c r="I91" s="23"/>
      <c r="J91" s="21"/>
      <c r="K91" s="23"/>
      <c r="L91" s="21"/>
      <c r="M91" s="23"/>
      <c r="N91" s="21"/>
      <c r="O91" s="24" t="s">
        <v>20</v>
      </c>
      <c r="P91" s="33" t="s">
        <v>88</v>
      </c>
    </row>
    <row r="92" spans="1:16" ht="135">
      <c r="A92" s="6" t="s">
        <v>80</v>
      </c>
      <c r="B92" s="2" t="s">
        <v>227</v>
      </c>
      <c r="C92" s="2">
        <v>5</v>
      </c>
      <c r="D92" s="18" t="s">
        <v>63</v>
      </c>
      <c r="E92" s="18" t="s">
        <v>63</v>
      </c>
      <c r="F92" s="5" t="s">
        <v>231</v>
      </c>
      <c r="G92" s="23"/>
      <c r="H92" s="21"/>
      <c r="I92" s="23"/>
      <c r="J92" s="21"/>
      <c r="K92" s="26" t="s">
        <v>20</v>
      </c>
      <c r="L92" s="33" t="s">
        <v>90</v>
      </c>
      <c r="M92" s="23"/>
      <c r="N92" s="21"/>
      <c r="O92" s="24" t="s">
        <v>20</v>
      </c>
      <c r="P92" s="33" t="s">
        <v>88</v>
      </c>
    </row>
    <row r="93" spans="1:16" ht="135">
      <c r="A93" s="6" t="s">
        <v>80</v>
      </c>
      <c r="B93" s="2" t="s">
        <v>227</v>
      </c>
      <c r="C93" s="2">
        <v>6</v>
      </c>
      <c r="D93" s="18" t="s">
        <v>63</v>
      </c>
      <c r="E93" s="18" t="s">
        <v>63</v>
      </c>
      <c r="F93" s="5" t="s">
        <v>232</v>
      </c>
      <c r="G93" s="24" t="s">
        <v>20</v>
      </c>
      <c r="H93" s="33" t="s">
        <v>230</v>
      </c>
      <c r="I93" s="23"/>
      <c r="J93" s="21"/>
      <c r="K93" s="23"/>
      <c r="L93" s="21"/>
      <c r="M93" s="23"/>
      <c r="N93" s="21"/>
      <c r="O93" s="24" t="s">
        <v>20</v>
      </c>
      <c r="P93" s="33" t="s">
        <v>83</v>
      </c>
    </row>
    <row r="94" spans="1:16" ht="135">
      <c r="A94" s="6" t="s">
        <v>80</v>
      </c>
      <c r="B94" s="2" t="s">
        <v>227</v>
      </c>
      <c r="C94" s="2">
        <v>7</v>
      </c>
      <c r="D94" s="18" t="s">
        <v>222</v>
      </c>
      <c r="E94" s="18" t="s">
        <v>3</v>
      </c>
      <c r="F94" s="5" t="s">
        <v>223</v>
      </c>
      <c r="G94" s="23"/>
      <c r="H94" s="21"/>
      <c r="I94" s="23"/>
      <c r="J94" s="21"/>
      <c r="K94" s="24" t="s">
        <v>20</v>
      </c>
      <c r="L94" s="33" t="s">
        <v>224</v>
      </c>
      <c r="M94" s="24" t="s">
        <v>20</v>
      </c>
      <c r="N94" s="33" t="s">
        <v>225</v>
      </c>
      <c r="O94" s="24" t="s">
        <v>20</v>
      </c>
      <c r="P94" s="33" t="s">
        <v>226</v>
      </c>
    </row>
    <row r="95" spans="1:16" ht="135">
      <c r="A95" s="6" t="s">
        <v>92</v>
      </c>
      <c r="B95" s="2" t="s">
        <v>201</v>
      </c>
      <c r="C95" s="2">
        <v>1</v>
      </c>
      <c r="D95" s="18" t="s">
        <v>202</v>
      </c>
      <c r="E95" s="18" t="s">
        <v>3</v>
      </c>
      <c r="F95" s="5" t="s">
        <v>203</v>
      </c>
      <c r="G95" s="24" t="s">
        <v>20</v>
      </c>
      <c r="H95" s="33" t="s">
        <v>204</v>
      </c>
      <c r="I95" s="23"/>
      <c r="J95" s="21"/>
      <c r="K95" s="23"/>
      <c r="L95" s="21"/>
      <c r="M95" s="23"/>
      <c r="N95" s="21"/>
      <c r="O95" s="24" t="s">
        <v>20</v>
      </c>
      <c r="P95" s="33" t="s">
        <v>205</v>
      </c>
    </row>
    <row r="96" spans="1:16" ht="180">
      <c r="A96" s="6" t="s">
        <v>92</v>
      </c>
      <c r="B96" s="2" t="s">
        <v>227</v>
      </c>
      <c r="C96" s="2">
        <v>2</v>
      </c>
      <c r="D96" s="18" t="s">
        <v>212</v>
      </c>
      <c r="E96" s="18" t="s">
        <v>3</v>
      </c>
      <c r="F96" s="5" t="s">
        <v>213</v>
      </c>
      <c r="G96" s="24" t="s">
        <v>20</v>
      </c>
      <c r="H96" s="33" t="s">
        <v>214</v>
      </c>
      <c r="I96" s="24" t="s">
        <v>20</v>
      </c>
      <c r="J96" s="33" t="s">
        <v>215</v>
      </c>
      <c r="K96" s="23"/>
      <c r="L96" s="21"/>
      <c r="M96" s="23"/>
      <c r="N96" s="21"/>
      <c r="O96" s="24" t="s">
        <v>20</v>
      </c>
      <c r="P96" s="33" t="s">
        <v>216</v>
      </c>
    </row>
    <row r="97" spans="1:16" ht="120">
      <c r="A97" s="6" t="s">
        <v>92</v>
      </c>
      <c r="B97" s="2" t="s">
        <v>201</v>
      </c>
      <c r="C97" s="2">
        <v>3</v>
      </c>
      <c r="D97" s="18" t="s">
        <v>63</v>
      </c>
      <c r="E97" s="18" t="s">
        <v>63</v>
      </c>
      <c r="F97" s="5" t="s">
        <v>233</v>
      </c>
      <c r="G97" s="23"/>
      <c r="H97" s="21"/>
      <c r="I97" s="23"/>
      <c r="J97" s="21"/>
      <c r="K97" s="23"/>
      <c r="L97" s="21"/>
      <c r="M97" s="24" t="s">
        <v>20</v>
      </c>
      <c r="N97" s="33" t="s">
        <v>234</v>
      </c>
      <c r="O97" s="24" t="s">
        <v>20</v>
      </c>
      <c r="P97" s="33" t="s">
        <v>235</v>
      </c>
    </row>
    <row r="98" spans="1:16" ht="135">
      <c r="A98" s="6" t="s">
        <v>92</v>
      </c>
      <c r="B98" s="2" t="s">
        <v>201</v>
      </c>
      <c r="C98" s="2">
        <v>4</v>
      </c>
      <c r="D98" s="18" t="s">
        <v>63</v>
      </c>
      <c r="E98" s="18" t="s">
        <v>63</v>
      </c>
      <c r="F98" s="5" t="s">
        <v>236</v>
      </c>
      <c r="G98" s="24" t="s">
        <v>20</v>
      </c>
      <c r="H98" s="33" t="s">
        <v>237</v>
      </c>
      <c r="I98" s="23"/>
      <c r="J98" s="21"/>
      <c r="K98" s="23"/>
      <c r="L98" s="21"/>
      <c r="M98" s="23"/>
      <c r="N98" s="21"/>
      <c r="O98" s="24" t="s">
        <v>20</v>
      </c>
      <c r="P98" s="33" t="s">
        <v>238</v>
      </c>
    </row>
    <row r="99" spans="1:16" ht="150">
      <c r="A99" s="6" t="s">
        <v>92</v>
      </c>
      <c r="B99" s="2" t="s">
        <v>201</v>
      </c>
      <c r="C99" s="2">
        <v>5</v>
      </c>
      <c r="D99" s="18" t="s">
        <v>63</v>
      </c>
      <c r="E99" s="18" t="s">
        <v>63</v>
      </c>
      <c r="F99" s="5" t="s">
        <v>239</v>
      </c>
      <c r="G99" s="24" t="s">
        <v>20</v>
      </c>
      <c r="H99" s="33" t="s">
        <v>240</v>
      </c>
      <c r="I99" s="23"/>
      <c r="J99" s="21"/>
      <c r="K99" s="24" t="s">
        <v>20</v>
      </c>
      <c r="L99" s="33" t="s">
        <v>241</v>
      </c>
      <c r="M99" s="23"/>
      <c r="N99" s="21"/>
      <c r="O99" s="24" t="s">
        <v>20</v>
      </c>
      <c r="P99" s="33" t="s">
        <v>242</v>
      </c>
    </row>
    <row r="100" spans="1:16" ht="135">
      <c r="A100" s="6" t="s">
        <v>92</v>
      </c>
      <c r="B100" s="2" t="s">
        <v>201</v>
      </c>
      <c r="C100" s="2">
        <v>6</v>
      </c>
      <c r="D100" s="18" t="s">
        <v>63</v>
      </c>
      <c r="E100" s="18" t="s">
        <v>63</v>
      </c>
      <c r="F100" s="5" t="s">
        <v>243</v>
      </c>
      <c r="G100" s="24" t="s">
        <v>20</v>
      </c>
      <c r="H100" s="33" t="s">
        <v>244</v>
      </c>
      <c r="I100" s="23"/>
      <c r="J100" s="21"/>
      <c r="K100" s="23"/>
      <c r="L100" s="21"/>
      <c r="M100" s="24" t="s">
        <v>20</v>
      </c>
      <c r="N100" s="33" t="s">
        <v>245</v>
      </c>
      <c r="O100" s="24" t="s">
        <v>20</v>
      </c>
      <c r="P100" s="33" t="s">
        <v>246</v>
      </c>
    </row>
    <row r="101" spans="1:16" ht="135">
      <c r="A101" s="6" t="s">
        <v>92</v>
      </c>
      <c r="B101" s="2" t="s">
        <v>227</v>
      </c>
      <c r="C101" s="2">
        <v>7</v>
      </c>
      <c r="D101" s="18" t="s">
        <v>222</v>
      </c>
      <c r="E101" s="18" t="s">
        <v>3</v>
      </c>
      <c r="F101" s="5" t="s">
        <v>223</v>
      </c>
      <c r="G101" s="23"/>
      <c r="H101" s="21"/>
      <c r="I101" s="23"/>
      <c r="J101" s="21"/>
      <c r="K101" s="24" t="s">
        <v>20</v>
      </c>
      <c r="L101" s="33" t="s">
        <v>224</v>
      </c>
      <c r="M101" s="24" t="s">
        <v>20</v>
      </c>
      <c r="N101" s="33" t="s">
        <v>225</v>
      </c>
      <c r="O101" s="24" t="s">
        <v>20</v>
      </c>
      <c r="P101" s="33" t="s">
        <v>226</v>
      </c>
    </row>
    <row r="102" spans="1:16" ht="135">
      <c r="A102" s="6" t="s">
        <v>109</v>
      </c>
      <c r="B102" s="2" t="s">
        <v>201</v>
      </c>
      <c r="C102" s="2">
        <v>1</v>
      </c>
      <c r="D102" s="18" t="s">
        <v>202</v>
      </c>
      <c r="E102" s="18" t="s">
        <v>3</v>
      </c>
      <c r="F102" s="5" t="s">
        <v>203</v>
      </c>
      <c r="G102" s="24" t="s">
        <v>20</v>
      </c>
      <c r="H102" s="33" t="s">
        <v>204</v>
      </c>
      <c r="I102" s="23"/>
      <c r="J102" s="21"/>
      <c r="K102" s="23"/>
      <c r="L102" s="21"/>
      <c r="M102" s="23"/>
      <c r="N102" s="21"/>
      <c r="O102" s="24" t="s">
        <v>20</v>
      </c>
      <c r="P102" s="33" t="s">
        <v>205</v>
      </c>
    </row>
    <row r="103" spans="1:16" ht="180">
      <c r="A103" s="6" t="s">
        <v>109</v>
      </c>
      <c r="B103" s="2" t="s">
        <v>201</v>
      </c>
      <c r="C103" s="2">
        <v>2</v>
      </c>
      <c r="D103" s="18" t="s">
        <v>212</v>
      </c>
      <c r="E103" s="18" t="s">
        <v>3</v>
      </c>
      <c r="F103" s="5" t="s">
        <v>213</v>
      </c>
      <c r="G103" s="24" t="s">
        <v>20</v>
      </c>
      <c r="H103" s="33" t="s">
        <v>214</v>
      </c>
      <c r="I103" s="24" t="s">
        <v>20</v>
      </c>
      <c r="J103" s="33" t="s">
        <v>215</v>
      </c>
      <c r="K103" s="23"/>
      <c r="L103" s="21"/>
      <c r="M103" s="23"/>
      <c r="N103" s="21"/>
      <c r="O103" s="24" t="s">
        <v>20</v>
      </c>
      <c r="P103" s="33" t="s">
        <v>216</v>
      </c>
    </row>
    <row r="104" spans="1:16" ht="135">
      <c r="A104" s="6" t="s">
        <v>109</v>
      </c>
      <c r="B104" s="2" t="s">
        <v>201</v>
      </c>
      <c r="C104" s="2">
        <v>3</v>
      </c>
      <c r="D104" s="18" t="s">
        <v>63</v>
      </c>
      <c r="E104" s="18" t="s">
        <v>63</v>
      </c>
      <c r="F104" s="5" t="s">
        <v>247</v>
      </c>
      <c r="G104" s="23"/>
      <c r="H104" s="21"/>
      <c r="I104" s="24" t="s">
        <v>20</v>
      </c>
      <c r="J104" s="33" t="s">
        <v>248</v>
      </c>
      <c r="K104" s="24" t="s">
        <v>20</v>
      </c>
      <c r="L104" s="33" t="s">
        <v>249</v>
      </c>
      <c r="M104" s="23"/>
      <c r="N104" s="21"/>
      <c r="O104" s="23"/>
      <c r="P104" s="21"/>
    </row>
    <row r="105" spans="1:16" ht="135">
      <c r="A105" s="6" t="s">
        <v>109</v>
      </c>
      <c r="B105" s="2" t="s">
        <v>201</v>
      </c>
      <c r="C105" s="2">
        <v>4</v>
      </c>
      <c r="D105" s="18" t="s">
        <v>63</v>
      </c>
      <c r="E105" s="18" t="s">
        <v>63</v>
      </c>
      <c r="F105" s="5" t="s">
        <v>250</v>
      </c>
      <c r="G105" s="24" t="s">
        <v>20</v>
      </c>
      <c r="H105" s="33" t="s">
        <v>251</v>
      </c>
      <c r="I105" s="23"/>
      <c r="J105" s="21"/>
      <c r="K105" s="23"/>
      <c r="L105" s="21"/>
      <c r="M105" s="23"/>
      <c r="N105" s="21"/>
      <c r="O105" s="24" t="s">
        <v>20</v>
      </c>
      <c r="P105" s="33" t="s">
        <v>252</v>
      </c>
    </row>
    <row r="106" spans="1:16" ht="135">
      <c r="A106" s="6" t="s">
        <v>109</v>
      </c>
      <c r="B106" s="2" t="s">
        <v>201</v>
      </c>
      <c r="C106" s="2">
        <v>5</v>
      </c>
      <c r="D106" s="18" t="s">
        <v>63</v>
      </c>
      <c r="E106" s="18" t="s">
        <v>63</v>
      </c>
      <c r="F106" s="5" t="s">
        <v>253</v>
      </c>
      <c r="G106" s="23"/>
      <c r="H106" s="21"/>
      <c r="I106" s="24" t="s">
        <v>20</v>
      </c>
      <c r="J106" s="33" t="s">
        <v>254</v>
      </c>
      <c r="K106" s="23"/>
      <c r="L106" s="21"/>
      <c r="M106" s="24" t="s">
        <v>20</v>
      </c>
      <c r="N106" s="33" t="s">
        <v>255</v>
      </c>
      <c r="O106" s="23"/>
      <c r="P106" s="21"/>
    </row>
    <row r="107" spans="1:16" ht="135">
      <c r="A107" s="6" t="s">
        <v>109</v>
      </c>
      <c r="B107" s="2" t="s">
        <v>227</v>
      </c>
      <c r="C107" s="2">
        <v>6</v>
      </c>
      <c r="D107" s="18" t="s">
        <v>63</v>
      </c>
      <c r="E107" s="18" t="s">
        <v>63</v>
      </c>
      <c r="F107" s="5" t="s">
        <v>256</v>
      </c>
      <c r="G107" s="24" t="s">
        <v>20</v>
      </c>
      <c r="H107" s="33" t="s">
        <v>257</v>
      </c>
      <c r="I107" s="24" t="s">
        <v>20</v>
      </c>
      <c r="J107" s="33" t="s">
        <v>258</v>
      </c>
      <c r="K107" s="23"/>
      <c r="L107" s="21"/>
      <c r="M107" s="23"/>
      <c r="N107" s="21"/>
      <c r="O107" s="23"/>
      <c r="P107" s="21"/>
    </row>
    <row r="108" spans="1:16" ht="135">
      <c r="A108" s="6" t="s">
        <v>109</v>
      </c>
      <c r="B108" s="2" t="s">
        <v>201</v>
      </c>
      <c r="C108" s="2">
        <v>7</v>
      </c>
      <c r="D108" s="18" t="s">
        <v>222</v>
      </c>
      <c r="E108" s="18" t="s">
        <v>3</v>
      </c>
      <c r="F108" s="5" t="s">
        <v>223</v>
      </c>
      <c r="G108" s="23"/>
      <c r="H108" s="21"/>
      <c r="I108" s="23"/>
      <c r="J108" s="21"/>
      <c r="K108" s="24" t="s">
        <v>20</v>
      </c>
      <c r="L108" s="33" t="s">
        <v>224</v>
      </c>
      <c r="M108" s="24" t="s">
        <v>20</v>
      </c>
      <c r="N108" s="33" t="s">
        <v>225</v>
      </c>
      <c r="O108" s="24" t="s">
        <v>20</v>
      </c>
      <c r="P108" s="33" t="s">
        <v>226</v>
      </c>
    </row>
    <row r="109" spans="1:16" ht="135">
      <c r="A109" s="6" t="s">
        <v>123</v>
      </c>
      <c r="B109" s="2" t="s">
        <v>201</v>
      </c>
      <c r="C109" s="2">
        <v>1</v>
      </c>
      <c r="D109" s="18" t="s">
        <v>202</v>
      </c>
      <c r="E109" s="18" t="s">
        <v>3</v>
      </c>
      <c r="F109" s="5" t="s">
        <v>203</v>
      </c>
      <c r="G109" s="24" t="s">
        <v>20</v>
      </c>
      <c r="H109" s="33" t="s">
        <v>204</v>
      </c>
      <c r="I109" s="23"/>
      <c r="J109" s="21"/>
      <c r="K109" s="23"/>
      <c r="L109" s="21"/>
      <c r="M109" s="23"/>
      <c r="N109" s="21"/>
      <c r="O109" s="24" t="s">
        <v>20</v>
      </c>
      <c r="P109" s="33" t="s">
        <v>205</v>
      </c>
    </row>
    <row r="110" spans="1:16" ht="195">
      <c r="A110" s="6" t="s">
        <v>123</v>
      </c>
      <c r="B110" s="2" t="s">
        <v>227</v>
      </c>
      <c r="C110" s="2">
        <v>2</v>
      </c>
      <c r="D110" s="18" t="s">
        <v>63</v>
      </c>
      <c r="E110" s="18" t="s">
        <v>63</v>
      </c>
      <c r="F110" s="5" t="s">
        <v>259</v>
      </c>
      <c r="G110" s="23"/>
      <c r="H110" s="21"/>
      <c r="I110" s="24" t="s">
        <v>20</v>
      </c>
      <c r="J110" s="33" t="s">
        <v>260</v>
      </c>
      <c r="K110" s="24" t="s">
        <v>20</v>
      </c>
      <c r="L110" s="33" t="s">
        <v>261</v>
      </c>
      <c r="M110" s="23"/>
      <c r="N110" s="21"/>
      <c r="O110" s="24"/>
      <c r="P110" s="25"/>
    </row>
    <row r="111" spans="1:16" ht="180">
      <c r="A111" s="6" t="s">
        <v>123</v>
      </c>
      <c r="B111" s="2" t="s">
        <v>227</v>
      </c>
      <c r="C111" s="2">
        <v>3</v>
      </c>
      <c r="D111" s="18" t="s">
        <v>212</v>
      </c>
      <c r="E111" s="18" t="s">
        <v>3</v>
      </c>
      <c r="F111" s="5" t="s">
        <v>213</v>
      </c>
      <c r="G111" s="24" t="s">
        <v>20</v>
      </c>
      <c r="H111" s="33" t="s">
        <v>214</v>
      </c>
      <c r="I111" s="24" t="s">
        <v>20</v>
      </c>
      <c r="J111" s="33" t="s">
        <v>215</v>
      </c>
      <c r="K111" s="23"/>
      <c r="L111" s="21"/>
      <c r="M111" s="23"/>
      <c r="N111" s="21"/>
      <c r="O111" s="24" t="s">
        <v>20</v>
      </c>
      <c r="P111" s="33" t="s">
        <v>216</v>
      </c>
    </row>
    <row r="112" spans="1:16" ht="180">
      <c r="A112" s="6" t="s">
        <v>123</v>
      </c>
      <c r="B112" s="2" t="s">
        <v>227</v>
      </c>
      <c r="C112" s="2">
        <v>4</v>
      </c>
      <c r="D112" s="18" t="s">
        <v>63</v>
      </c>
      <c r="E112" s="18" t="s">
        <v>63</v>
      </c>
      <c r="F112" s="5" t="s">
        <v>262</v>
      </c>
      <c r="G112" s="23"/>
      <c r="H112" s="21"/>
      <c r="I112" s="24" t="s">
        <v>20</v>
      </c>
      <c r="J112" s="33" t="s">
        <v>263</v>
      </c>
      <c r="K112" s="23"/>
      <c r="L112" s="21"/>
      <c r="M112" s="23"/>
      <c r="N112" s="21"/>
      <c r="O112" s="23"/>
      <c r="P112" s="21"/>
    </row>
    <row r="113" spans="1:16" ht="120">
      <c r="A113" s="6" t="s">
        <v>123</v>
      </c>
      <c r="B113" s="2" t="s">
        <v>227</v>
      </c>
      <c r="C113" s="2">
        <v>5</v>
      </c>
      <c r="D113" s="18" t="s">
        <v>63</v>
      </c>
      <c r="E113" s="18" t="s">
        <v>63</v>
      </c>
      <c r="F113" s="5" t="s">
        <v>264</v>
      </c>
      <c r="G113" s="23"/>
      <c r="H113" s="21"/>
      <c r="I113" s="24" t="s">
        <v>20</v>
      </c>
      <c r="J113" s="33" t="s">
        <v>265</v>
      </c>
      <c r="K113" s="23"/>
      <c r="L113" s="21"/>
      <c r="M113" s="23"/>
      <c r="N113" s="21"/>
      <c r="O113" s="24" t="s">
        <v>20</v>
      </c>
      <c r="P113" s="33" t="s">
        <v>266</v>
      </c>
    </row>
    <row r="114" spans="1:16" ht="120">
      <c r="A114" s="6" t="s">
        <v>123</v>
      </c>
      <c r="B114" s="2" t="s">
        <v>227</v>
      </c>
      <c r="C114" s="2">
        <v>6</v>
      </c>
      <c r="D114" s="18" t="s">
        <v>63</v>
      </c>
      <c r="E114" s="18" t="s">
        <v>63</v>
      </c>
      <c r="F114" s="5" t="s">
        <v>267</v>
      </c>
      <c r="G114" s="23"/>
      <c r="H114" s="21"/>
      <c r="I114" s="23"/>
      <c r="J114" s="21"/>
      <c r="K114" s="23"/>
      <c r="L114" s="21"/>
      <c r="M114" s="23"/>
      <c r="N114" s="21"/>
      <c r="O114" s="24" t="s">
        <v>20</v>
      </c>
      <c r="P114" s="33" t="s">
        <v>268</v>
      </c>
    </row>
    <row r="115" spans="1:16" ht="135">
      <c r="A115" s="6" t="s">
        <v>123</v>
      </c>
      <c r="B115" s="2" t="s">
        <v>227</v>
      </c>
      <c r="C115" s="2">
        <v>7</v>
      </c>
      <c r="D115" s="18" t="s">
        <v>222</v>
      </c>
      <c r="E115" s="18" t="s">
        <v>3</v>
      </c>
      <c r="F115" s="5" t="s">
        <v>223</v>
      </c>
      <c r="G115" s="23"/>
      <c r="H115" s="21"/>
      <c r="I115" s="23"/>
      <c r="J115" s="21"/>
      <c r="K115" s="24" t="s">
        <v>20</v>
      </c>
      <c r="L115" s="33" t="s">
        <v>224</v>
      </c>
      <c r="M115" s="24" t="s">
        <v>20</v>
      </c>
      <c r="N115" s="33" t="s">
        <v>225</v>
      </c>
      <c r="O115" s="24" t="s">
        <v>20</v>
      </c>
      <c r="P115" s="33" t="s">
        <v>226</v>
      </c>
    </row>
    <row r="116" spans="1:16" ht="135">
      <c r="A116" s="6" t="s">
        <v>133</v>
      </c>
      <c r="B116" s="2" t="s">
        <v>201</v>
      </c>
      <c r="C116" s="2">
        <v>1</v>
      </c>
      <c r="D116" s="18" t="s">
        <v>202</v>
      </c>
      <c r="E116" s="18" t="s">
        <v>3</v>
      </c>
      <c r="F116" s="5" t="s">
        <v>269</v>
      </c>
      <c r="G116" s="24" t="s">
        <v>20</v>
      </c>
      <c r="H116" s="33" t="s">
        <v>204</v>
      </c>
      <c r="I116" s="23"/>
      <c r="J116" s="21"/>
      <c r="K116" s="23"/>
      <c r="L116" s="21"/>
      <c r="M116" s="23"/>
      <c r="N116" s="21"/>
      <c r="O116" s="24" t="s">
        <v>20</v>
      </c>
      <c r="P116" s="33" t="s">
        <v>205</v>
      </c>
    </row>
    <row r="117" spans="1:16" ht="180">
      <c r="A117" s="6" t="s">
        <v>133</v>
      </c>
      <c r="B117" s="2" t="s">
        <v>227</v>
      </c>
      <c r="C117" s="2">
        <v>2</v>
      </c>
      <c r="D117" s="18" t="s">
        <v>212</v>
      </c>
      <c r="E117" s="18" t="s">
        <v>3</v>
      </c>
      <c r="F117" s="5" t="s">
        <v>213</v>
      </c>
      <c r="G117" s="24" t="s">
        <v>20</v>
      </c>
      <c r="H117" s="33" t="s">
        <v>214</v>
      </c>
      <c r="I117" s="24" t="s">
        <v>20</v>
      </c>
      <c r="J117" s="33" t="s">
        <v>215</v>
      </c>
      <c r="K117" s="23"/>
      <c r="L117" s="21"/>
      <c r="M117" s="23"/>
      <c r="N117" s="21"/>
      <c r="O117" s="24" t="s">
        <v>20</v>
      </c>
      <c r="P117" s="33" t="s">
        <v>216</v>
      </c>
    </row>
    <row r="118" spans="1:16" ht="105">
      <c r="A118" s="6" t="s">
        <v>133</v>
      </c>
      <c r="B118" s="2" t="s">
        <v>201</v>
      </c>
      <c r="C118" s="2">
        <v>3</v>
      </c>
      <c r="D118" s="18" t="s">
        <v>63</v>
      </c>
      <c r="E118" s="18" t="s">
        <v>63</v>
      </c>
      <c r="F118" s="5" t="s">
        <v>270</v>
      </c>
      <c r="G118" s="24" t="s">
        <v>20</v>
      </c>
      <c r="H118" s="33" t="s">
        <v>271</v>
      </c>
      <c r="I118" s="23"/>
      <c r="J118" s="21"/>
      <c r="K118" s="23"/>
      <c r="L118" s="21"/>
      <c r="M118" s="24" t="s">
        <v>20</v>
      </c>
      <c r="N118" s="33" t="s">
        <v>272</v>
      </c>
      <c r="O118" s="24" t="s">
        <v>20</v>
      </c>
      <c r="P118" s="33" t="s">
        <v>273</v>
      </c>
    </row>
    <row r="119" spans="1:16" ht="120">
      <c r="A119" s="6" t="s">
        <v>133</v>
      </c>
      <c r="B119" s="2" t="s">
        <v>201</v>
      </c>
      <c r="C119" s="2">
        <v>4</v>
      </c>
      <c r="D119" s="18" t="s">
        <v>63</v>
      </c>
      <c r="E119" s="18" t="s">
        <v>63</v>
      </c>
      <c r="F119" s="5" t="s">
        <v>274</v>
      </c>
      <c r="G119" s="23"/>
      <c r="H119" s="21"/>
      <c r="I119" s="24" t="s">
        <v>20</v>
      </c>
      <c r="J119" s="33" t="s">
        <v>275</v>
      </c>
      <c r="K119" s="23"/>
      <c r="L119" s="21"/>
      <c r="M119" s="23"/>
      <c r="N119" s="21"/>
      <c r="O119" s="24" t="s">
        <v>20</v>
      </c>
      <c r="P119" s="33" t="s">
        <v>276</v>
      </c>
    </row>
    <row r="120" spans="1:16" ht="120">
      <c r="A120" s="6" t="s">
        <v>133</v>
      </c>
      <c r="B120" s="2" t="s">
        <v>201</v>
      </c>
      <c r="C120" s="2">
        <v>5</v>
      </c>
      <c r="D120" s="18" t="s">
        <v>63</v>
      </c>
      <c r="E120" s="18" t="s">
        <v>63</v>
      </c>
      <c r="F120" s="5" t="s">
        <v>277</v>
      </c>
      <c r="G120" s="60"/>
      <c r="H120" s="61"/>
      <c r="I120" s="60"/>
      <c r="J120" s="61"/>
      <c r="K120" s="60"/>
      <c r="L120" s="61"/>
      <c r="M120" s="57" t="s">
        <v>20</v>
      </c>
      <c r="N120" s="58" t="s">
        <v>278</v>
      </c>
      <c r="O120" s="57" t="s">
        <v>20</v>
      </c>
      <c r="P120" s="58" t="s">
        <v>279</v>
      </c>
    </row>
    <row r="121" spans="1:16" ht="120">
      <c r="A121" s="6" t="s">
        <v>133</v>
      </c>
      <c r="B121" s="2" t="s">
        <v>201</v>
      </c>
      <c r="C121" s="2">
        <v>6</v>
      </c>
      <c r="D121" s="18" t="s">
        <v>63</v>
      </c>
      <c r="E121" s="18" t="s">
        <v>63</v>
      </c>
      <c r="F121" s="5" t="s">
        <v>280</v>
      </c>
      <c r="G121" s="60"/>
      <c r="H121" s="61"/>
      <c r="I121" s="60"/>
      <c r="J121" s="61"/>
      <c r="K121" s="60"/>
      <c r="L121" s="61"/>
      <c r="M121" s="57" t="s">
        <v>20</v>
      </c>
      <c r="N121" s="58" t="s">
        <v>281</v>
      </c>
      <c r="O121" s="57" t="s">
        <v>20</v>
      </c>
      <c r="P121" s="58" t="s">
        <v>282</v>
      </c>
    </row>
    <row r="122" spans="1:16" ht="135">
      <c r="A122" s="6" t="s">
        <v>133</v>
      </c>
      <c r="B122" s="2" t="s">
        <v>227</v>
      </c>
      <c r="C122" s="2">
        <v>7</v>
      </c>
      <c r="D122" s="18" t="s">
        <v>222</v>
      </c>
      <c r="E122" s="18" t="s">
        <v>3</v>
      </c>
      <c r="F122" s="5" t="s">
        <v>223</v>
      </c>
      <c r="G122" s="23"/>
      <c r="H122" s="21"/>
      <c r="I122" s="23"/>
      <c r="J122" s="21"/>
      <c r="K122" s="24" t="s">
        <v>20</v>
      </c>
      <c r="L122" s="33" t="s">
        <v>224</v>
      </c>
      <c r="M122" s="24" t="s">
        <v>20</v>
      </c>
      <c r="N122" s="33" t="s">
        <v>225</v>
      </c>
      <c r="O122" s="24" t="s">
        <v>20</v>
      </c>
      <c r="P122" s="33" t="s">
        <v>226</v>
      </c>
    </row>
    <row r="123" spans="1:16" ht="135">
      <c r="A123" s="6" t="s">
        <v>148</v>
      </c>
      <c r="B123" s="2" t="s">
        <v>201</v>
      </c>
      <c r="C123" s="2">
        <v>1</v>
      </c>
      <c r="D123" s="18" t="s">
        <v>202</v>
      </c>
      <c r="E123" s="18" t="s">
        <v>3</v>
      </c>
      <c r="F123" s="5" t="s">
        <v>203</v>
      </c>
      <c r="G123" s="24" t="s">
        <v>20</v>
      </c>
      <c r="H123" s="33" t="s">
        <v>204</v>
      </c>
      <c r="I123" s="23"/>
      <c r="J123" s="21"/>
      <c r="K123" s="23"/>
      <c r="L123" s="21"/>
      <c r="M123" s="23"/>
      <c r="N123" s="21"/>
      <c r="O123" s="24" t="s">
        <v>20</v>
      </c>
      <c r="P123" s="33" t="s">
        <v>205</v>
      </c>
    </row>
    <row r="124" spans="1:16" ht="180">
      <c r="A124" s="6" t="s">
        <v>148</v>
      </c>
      <c r="B124" s="2" t="s">
        <v>227</v>
      </c>
      <c r="C124" s="2">
        <v>2</v>
      </c>
      <c r="D124" s="18" t="s">
        <v>212</v>
      </c>
      <c r="E124" s="18" t="s">
        <v>3</v>
      </c>
      <c r="F124" s="5" t="s">
        <v>213</v>
      </c>
      <c r="G124" s="24" t="s">
        <v>20</v>
      </c>
      <c r="H124" s="33" t="s">
        <v>214</v>
      </c>
      <c r="I124" s="24" t="s">
        <v>20</v>
      </c>
      <c r="J124" s="33" t="s">
        <v>215</v>
      </c>
      <c r="K124" s="23"/>
      <c r="L124" s="21"/>
      <c r="M124" s="23"/>
      <c r="N124" s="21"/>
      <c r="O124" s="24" t="s">
        <v>20</v>
      </c>
      <c r="P124" s="33" t="s">
        <v>216</v>
      </c>
    </row>
    <row r="125" spans="1:16" ht="120">
      <c r="A125" s="6" t="s">
        <v>148</v>
      </c>
      <c r="B125" s="2" t="s">
        <v>201</v>
      </c>
      <c r="C125" s="2">
        <v>3</v>
      </c>
      <c r="D125" s="18" t="s">
        <v>63</v>
      </c>
      <c r="E125" s="18" t="s">
        <v>63</v>
      </c>
      <c r="F125" s="5" t="s">
        <v>283</v>
      </c>
      <c r="G125" s="23"/>
      <c r="H125" s="21"/>
      <c r="I125" s="24" t="s">
        <v>20</v>
      </c>
      <c r="J125" s="38" t="s">
        <v>284</v>
      </c>
      <c r="K125" s="23"/>
      <c r="L125" s="21"/>
      <c r="M125" s="23"/>
      <c r="N125" s="21"/>
      <c r="O125" s="24" t="s">
        <v>20</v>
      </c>
      <c r="P125" s="38" t="s">
        <v>285</v>
      </c>
    </row>
    <row r="126" spans="1:16" ht="135">
      <c r="A126" s="6" t="s">
        <v>148</v>
      </c>
      <c r="B126" s="2" t="s">
        <v>201</v>
      </c>
      <c r="C126" s="2">
        <v>4</v>
      </c>
      <c r="D126" s="18" t="s">
        <v>63</v>
      </c>
      <c r="E126" s="18" t="s">
        <v>63</v>
      </c>
      <c r="F126" s="5" t="s">
        <v>286</v>
      </c>
      <c r="G126" s="24" t="s">
        <v>20</v>
      </c>
      <c r="H126" s="38" t="s">
        <v>287</v>
      </c>
      <c r="I126" s="23"/>
      <c r="J126" s="21"/>
      <c r="K126" s="23"/>
      <c r="L126" s="21"/>
      <c r="M126" s="23"/>
      <c r="N126" s="21"/>
      <c r="O126" s="24" t="s">
        <v>20</v>
      </c>
      <c r="P126" s="38" t="s">
        <v>288</v>
      </c>
    </row>
    <row r="127" spans="1:16" ht="135">
      <c r="A127" s="6" t="s">
        <v>148</v>
      </c>
      <c r="B127" s="2" t="s">
        <v>201</v>
      </c>
      <c r="C127" s="2">
        <v>5</v>
      </c>
      <c r="D127" s="18" t="s">
        <v>63</v>
      </c>
      <c r="E127" s="18" t="s">
        <v>63</v>
      </c>
      <c r="F127" s="5" t="s">
        <v>289</v>
      </c>
      <c r="G127" s="24" t="s">
        <v>20</v>
      </c>
      <c r="H127" s="38" t="s">
        <v>290</v>
      </c>
      <c r="I127" s="23"/>
      <c r="J127" s="21"/>
      <c r="K127" s="23"/>
      <c r="L127" s="21"/>
      <c r="M127" s="23"/>
      <c r="N127" s="21"/>
      <c r="O127" s="24" t="s">
        <v>20</v>
      </c>
      <c r="P127" s="38" t="s">
        <v>291</v>
      </c>
    </row>
    <row r="128" spans="1:16" ht="120">
      <c r="A128" s="6" t="s">
        <v>148</v>
      </c>
      <c r="B128" s="2" t="s">
        <v>201</v>
      </c>
      <c r="C128" s="2">
        <v>6</v>
      </c>
      <c r="D128" s="18" t="s">
        <v>63</v>
      </c>
      <c r="E128" s="18" t="s">
        <v>63</v>
      </c>
      <c r="F128" s="5" t="s">
        <v>292</v>
      </c>
      <c r="G128" s="24" t="s">
        <v>20</v>
      </c>
      <c r="H128" s="38" t="s">
        <v>290</v>
      </c>
      <c r="I128" s="23"/>
      <c r="J128" s="21"/>
      <c r="K128" s="23"/>
      <c r="L128" s="21"/>
      <c r="M128" s="23"/>
      <c r="N128" s="21"/>
      <c r="O128" s="24" t="s">
        <v>20</v>
      </c>
      <c r="P128" s="38" t="s">
        <v>293</v>
      </c>
    </row>
    <row r="129" spans="1:16" ht="135">
      <c r="A129" s="6" t="s">
        <v>148</v>
      </c>
      <c r="B129" s="2" t="s">
        <v>227</v>
      </c>
      <c r="C129" s="2">
        <v>7</v>
      </c>
      <c r="D129" s="18" t="s">
        <v>222</v>
      </c>
      <c r="E129" s="18" t="s">
        <v>3</v>
      </c>
      <c r="F129" s="5" t="s">
        <v>223</v>
      </c>
      <c r="G129" s="23"/>
      <c r="H129" s="21"/>
      <c r="I129" s="23"/>
      <c r="J129" s="21"/>
      <c r="K129" s="24" t="s">
        <v>20</v>
      </c>
      <c r="L129" s="33" t="s">
        <v>224</v>
      </c>
      <c r="M129" s="24" t="s">
        <v>20</v>
      </c>
      <c r="N129" s="33" t="s">
        <v>225</v>
      </c>
      <c r="O129" s="24" t="s">
        <v>20</v>
      </c>
      <c r="P129" s="33" t="s">
        <v>226</v>
      </c>
    </row>
    <row r="130" spans="1:16" ht="135">
      <c r="A130" s="6" t="s">
        <v>162</v>
      </c>
      <c r="B130" s="2" t="s">
        <v>201</v>
      </c>
      <c r="C130" s="2">
        <v>1</v>
      </c>
      <c r="D130" s="18" t="s">
        <v>202</v>
      </c>
      <c r="E130" s="18" t="s">
        <v>3</v>
      </c>
      <c r="F130" s="5" t="s">
        <v>203</v>
      </c>
      <c r="G130" s="24" t="s">
        <v>20</v>
      </c>
      <c r="H130" s="33" t="s">
        <v>204</v>
      </c>
      <c r="I130" s="23"/>
      <c r="J130" s="21"/>
      <c r="K130" s="23"/>
      <c r="L130" s="21"/>
      <c r="M130" s="23"/>
      <c r="N130" s="21"/>
      <c r="O130" s="24" t="s">
        <v>20</v>
      </c>
      <c r="P130" s="33" t="s">
        <v>205</v>
      </c>
    </row>
    <row r="131" spans="1:16" ht="180">
      <c r="A131" s="6" t="s">
        <v>162</v>
      </c>
      <c r="B131" s="2" t="s">
        <v>201</v>
      </c>
      <c r="C131" s="2">
        <v>2</v>
      </c>
      <c r="D131" s="18" t="s">
        <v>212</v>
      </c>
      <c r="E131" s="18" t="s">
        <v>3</v>
      </c>
      <c r="F131" s="5" t="s">
        <v>213</v>
      </c>
      <c r="G131" s="24" t="s">
        <v>20</v>
      </c>
      <c r="H131" s="33" t="s">
        <v>214</v>
      </c>
      <c r="I131" s="24" t="s">
        <v>20</v>
      </c>
      <c r="J131" s="33" t="s">
        <v>215</v>
      </c>
      <c r="K131" s="23"/>
      <c r="L131" s="21"/>
      <c r="M131" s="23"/>
      <c r="N131" s="21"/>
      <c r="O131" s="24" t="s">
        <v>20</v>
      </c>
      <c r="P131" s="33" t="s">
        <v>216</v>
      </c>
    </row>
    <row r="132" spans="1:16" ht="135">
      <c r="A132" s="6" t="s">
        <v>162</v>
      </c>
      <c r="B132" s="2" t="s">
        <v>201</v>
      </c>
      <c r="C132" s="2">
        <v>3</v>
      </c>
      <c r="D132" s="18" t="s">
        <v>63</v>
      </c>
      <c r="E132" s="18" t="s">
        <v>63</v>
      </c>
      <c r="F132" s="5" t="s">
        <v>294</v>
      </c>
      <c r="G132" s="23"/>
      <c r="H132" s="21"/>
      <c r="I132" s="23"/>
      <c r="J132" s="21"/>
      <c r="K132" s="24" t="s">
        <v>20</v>
      </c>
      <c r="L132" s="33" t="s">
        <v>295</v>
      </c>
      <c r="M132" s="23"/>
      <c r="N132" s="21"/>
      <c r="O132" s="24" t="s">
        <v>20</v>
      </c>
      <c r="P132" s="33" t="s">
        <v>296</v>
      </c>
    </row>
    <row r="133" spans="1:16" ht="150">
      <c r="A133" s="6" t="s">
        <v>162</v>
      </c>
      <c r="B133" s="2" t="s">
        <v>201</v>
      </c>
      <c r="C133" s="2">
        <v>4</v>
      </c>
      <c r="D133" s="18" t="s">
        <v>63</v>
      </c>
      <c r="E133" s="18" t="s">
        <v>63</v>
      </c>
      <c r="F133" s="5" t="s">
        <v>297</v>
      </c>
      <c r="G133" s="23"/>
      <c r="H133" s="21"/>
      <c r="I133" s="23"/>
      <c r="J133" s="33"/>
      <c r="K133" s="24" t="s">
        <v>20</v>
      </c>
      <c r="L133" s="33" t="s">
        <v>298</v>
      </c>
      <c r="M133" s="23"/>
      <c r="N133" s="21"/>
      <c r="O133" s="24" t="s">
        <v>20</v>
      </c>
      <c r="P133" s="33" t="s">
        <v>299</v>
      </c>
    </row>
    <row r="134" spans="1:16" ht="150">
      <c r="A134" s="6" t="s">
        <v>162</v>
      </c>
      <c r="B134" s="2" t="s">
        <v>201</v>
      </c>
      <c r="C134" s="2">
        <v>5</v>
      </c>
      <c r="D134" s="18" t="s">
        <v>63</v>
      </c>
      <c r="E134" s="18" t="s">
        <v>63</v>
      </c>
      <c r="F134" s="5" t="s">
        <v>300</v>
      </c>
      <c r="G134" s="23"/>
      <c r="H134" s="21"/>
      <c r="I134" s="23"/>
      <c r="J134" s="21"/>
      <c r="K134" s="23"/>
      <c r="L134" s="21"/>
      <c r="M134" s="23"/>
      <c r="N134" s="21"/>
      <c r="O134" s="24" t="s">
        <v>20</v>
      </c>
      <c r="P134" s="33" t="s">
        <v>301</v>
      </c>
    </row>
    <row r="135" spans="1:16" ht="135">
      <c r="A135" s="6" t="s">
        <v>162</v>
      </c>
      <c r="B135" s="2" t="s">
        <v>201</v>
      </c>
      <c r="C135" s="2">
        <v>6</v>
      </c>
      <c r="D135" s="18" t="s">
        <v>63</v>
      </c>
      <c r="E135" s="18" t="s">
        <v>63</v>
      </c>
      <c r="F135" s="5" t="s">
        <v>302</v>
      </c>
      <c r="G135" s="23"/>
      <c r="H135" s="21"/>
      <c r="I135" s="23"/>
      <c r="J135" s="21"/>
      <c r="K135" s="23"/>
      <c r="L135" s="21"/>
      <c r="M135" s="24" t="s">
        <v>20</v>
      </c>
      <c r="N135" s="33" t="s">
        <v>303</v>
      </c>
      <c r="O135" s="24" t="s">
        <v>20</v>
      </c>
      <c r="P135" s="33" t="s">
        <v>304</v>
      </c>
    </row>
    <row r="136" spans="1:16" ht="135">
      <c r="A136" s="6" t="s">
        <v>162</v>
      </c>
      <c r="B136" s="2" t="s">
        <v>227</v>
      </c>
      <c r="C136" s="2">
        <v>7</v>
      </c>
      <c r="D136" s="18" t="s">
        <v>222</v>
      </c>
      <c r="E136" s="18" t="s">
        <v>3</v>
      </c>
      <c r="F136" s="5" t="s">
        <v>223</v>
      </c>
      <c r="G136" s="23"/>
      <c r="H136" s="21"/>
      <c r="I136" s="23"/>
      <c r="J136" s="21"/>
      <c r="K136" s="24" t="s">
        <v>20</v>
      </c>
      <c r="L136" s="33" t="s">
        <v>224</v>
      </c>
      <c r="M136" s="24" t="s">
        <v>20</v>
      </c>
      <c r="N136" s="33" t="s">
        <v>225</v>
      </c>
      <c r="O136" s="24" t="s">
        <v>20</v>
      </c>
      <c r="P136" s="33" t="s">
        <v>226</v>
      </c>
    </row>
    <row r="137" spans="1:16" ht="135">
      <c r="A137" s="6" t="s">
        <v>175</v>
      </c>
      <c r="B137" s="2" t="s">
        <v>201</v>
      </c>
      <c r="C137" s="2">
        <v>1</v>
      </c>
      <c r="D137" s="18" t="s">
        <v>202</v>
      </c>
      <c r="E137" s="18" t="s">
        <v>3</v>
      </c>
      <c r="F137" s="5" t="s">
        <v>305</v>
      </c>
      <c r="G137" s="24" t="s">
        <v>20</v>
      </c>
      <c r="H137" s="33" t="s">
        <v>204</v>
      </c>
      <c r="I137" s="23"/>
      <c r="J137" s="21"/>
      <c r="K137" s="23"/>
      <c r="L137" s="21"/>
      <c r="M137" s="23"/>
      <c r="N137" s="21"/>
      <c r="O137" s="24" t="s">
        <v>20</v>
      </c>
      <c r="P137" s="33" t="s">
        <v>205</v>
      </c>
    </row>
    <row r="138" spans="1:16" ht="180">
      <c r="A138" s="6" t="s">
        <v>175</v>
      </c>
      <c r="B138" s="2" t="s">
        <v>201</v>
      </c>
      <c r="C138" s="2">
        <v>2</v>
      </c>
      <c r="D138" s="18" t="s">
        <v>212</v>
      </c>
      <c r="E138" s="18" t="s">
        <v>3</v>
      </c>
      <c r="F138" s="5" t="s">
        <v>213</v>
      </c>
      <c r="G138" s="24" t="s">
        <v>20</v>
      </c>
      <c r="H138" s="33" t="s">
        <v>214</v>
      </c>
      <c r="I138" s="24" t="s">
        <v>20</v>
      </c>
      <c r="J138" s="33" t="s">
        <v>215</v>
      </c>
      <c r="K138" s="23"/>
      <c r="L138" s="21"/>
      <c r="M138" s="23"/>
      <c r="N138" s="21"/>
      <c r="O138" s="24" t="s">
        <v>20</v>
      </c>
      <c r="P138" s="33" t="s">
        <v>216</v>
      </c>
    </row>
    <row r="139" spans="1:16" ht="120">
      <c r="A139" s="6" t="s">
        <v>175</v>
      </c>
      <c r="B139" s="2" t="s">
        <v>201</v>
      </c>
      <c r="C139" s="2">
        <v>3</v>
      </c>
      <c r="D139" s="18" t="s">
        <v>63</v>
      </c>
      <c r="E139" s="18" t="s">
        <v>63</v>
      </c>
      <c r="F139" s="5" t="s">
        <v>306</v>
      </c>
      <c r="G139" s="23"/>
      <c r="H139" s="21"/>
      <c r="I139" s="24" t="s">
        <v>20</v>
      </c>
      <c r="J139" s="38" t="s">
        <v>307</v>
      </c>
      <c r="K139" s="23"/>
      <c r="L139" s="21"/>
      <c r="M139" s="23"/>
      <c r="N139" s="21"/>
      <c r="O139" s="23"/>
      <c r="P139" s="21"/>
    </row>
    <row r="140" spans="1:16" ht="134.55000000000001" customHeight="1">
      <c r="A140" s="6" t="s">
        <v>175</v>
      </c>
      <c r="B140" s="2" t="s">
        <v>201</v>
      </c>
      <c r="C140" s="2">
        <v>4</v>
      </c>
      <c r="D140" s="18" t="s">
        <v>63</v>
      </c>
      <c r="E140" s="18" t="s">
        <v>63</v>
      </c>
      <c r="F140" s="5" t="s">
        <v>308</v>
      </c>
      <c r="G140" s="23"/>
      <c r="H140" s="21"/>
      <c r="I140" s="23"/>
      <c r="J140" s="21"/>
      <c r="K140" s="23"/>
      <c r="L140" s="21"/>
      <c r="M140" s="23"/>
      <c r="N140" s="21"/>
      <c r="O140" s="24" t="s">
        <v>20</v>
      </c>
      <c r="P140" s="38" t="s">
        <v>309</v>
      </c>
    </row>
    <row r="141" spans="1:16" ht="120">
      <c r="A141" s="6" t="s">
        <v>175</v>
      </c>
      <c r="B141" s="2" t="s">
        <v>201</v>
      </c>
      <c r="C141" s="2">
        <v>5</v>
      </c>
      <c r="D141" s="18" t="s">
        <v>63</v>
      </c>
      <c r="E141" s="18" t="s">
        <v>63</v>
      </c>
      <c r="F141" s="5" t="s">
        <v>310</v>
      </c>
      <c r="G141" s="23"/>
      <c r="H141" s="21"/>
      <c r="I141" s="24" t="s">
        <v>20</v>
      </c>
      <c r="J141" s="38" t="s">
        <v>311</v>
      </c>
      <c r="K141" s="23"/>
      <c r="L141" s="21"/>
      <c r="M141" s="23"/>
      <c r="N141" s="21"/>
      <c r="O141" s="23"/>
      <c r="P141" s="21"/>
    </row>
    <row r="142" spans="1:16" ht="105">
      <c r="A142" s="6" t="s">
        <v>175</v>
      </c>
      <c r="B142" s="2" t="s">
        <v>201</v>
      </c>
      <c r="C142" s="2">
        <v>6</v>
      </c>
      <c r="D142" s="18" t="s">
        <v>63</v>
      </c>
      <c r="E142" s="18" t="s">
        <v>63</v>
      </c>
      <c r="F142" s="5" t="s">
        <v>312</v>
      </c>
      <c r="G142" s="23"/>
      <c r="H142" s="21"/>
      <c r="I142" s="23"/>
      <c r="J142" s="21"/>
      <c r="K142" s="23"/>
      <c r="L142" s="21"/>
      <c r="M142" s="23"/>
      <c r="N142" s="21"/>
      <c r="O142" s="24" t="s">
        <v>20</v>
      </c>
      <c r="P142" s="38" t="s">
        <v>313</v>
      </c>
    </row>
    <row r="143" spans="1:16" ht="135">
      <c r="A143" s="6" t="s">
        <v>175</v>
      </c>
      <c r="B143" s="2" t="s">
        <v>201</v>
      </c>
      <c r="C143" s="2">
        <v>7</v>
      </c>
      <c r="D143" s="18" t="s">
        <v>222</v>
      </c>
      <c r="E143" s="18" t="s">
        <v>3</v>
      </c>
      <c r="F143" s="5" t="s">
        <v>223</v>
      </c>
      <c r="G143" s="23"/>
      <c r="H143" s="21"/>
      <c r="I143" s="23"/>
      <c r="J143" s="21"/>
      <c r="K143" s="24" t="s">
        <v>20</v>
      </c>
      <c r="L143" s="33" t="s">
        <v>224</v>
      </c>
      <c r="M143" s="24" t="s">
        <v>20</v>
      </c>
      <c r="N143" s="33" t="s">
        <v>225</v>
      </c>
      <c r="O143" s="24" t="s">
        <v>20</v>
      </c>
      <c r="P143" s="33" t="s">
        <v>226</v>
      </c>
    </row>
    <row r="144" spans="1:16" ht="135">
      <c r="A144" s="6" t="s">
        <v>187</v>
      </c>
      <c r="B144" s="2" t="s">
        <v>201</v>
      </c>
      <c r="C144" s="2">
        <v>1</v>
      </c>
      <c r="D144" s="18" t="s">
        <v>202</v>
      </c>
      <c r="E144" s="18" t="s">
        <v>3</v>
      </c>
      <c r="F144" s="5" t="s">
        <v>203</v>
      </c>
      <c r="G144" s="24" t="s">
        <v>20</v>
      </c>
      <c r="H144" s="33" t="s">
        <v>204</v>
      </c>
      <c r="I144" s="23"/>
      <c r="J144" s="21"/>
      <c r="K144" s="23"/>
      <c r="L144" s="21"/>
      <c r="M144" s="23"/>
      <c r="N144" s="21"/>
      <c r="O144" s="24" t="s">
        <v>20</v>
      </c>
      <c r="P144" s="33" t="s">
        <v>205</v>
      </c>
    </row>
    <row r="145" spans="1:16" ht="165">
      <c r="A145" s="6" t="s">
        <v>187</v>
      </c>
      <c r="B145" s="2" t="s">
        <v>201</v>
      </c>
      <c r="C145" s="2">
        <v>2</v>
      </c>
      <c r="D145" s="18" t="s">
        <v>63</v>
      </c>
      <c r="E145" s="18" t="s">
        <v>63</v>
      </c>
      <c r="F145" s="5" t="s">
        <v>314</v>
      </c>
      <c r="G145" s="22" t="s">
        <v>189</v>
      </c>
      <c r="H145" s="41" t="s">
        <v>315</v>
      </c>
      <c r="I145" s="31" t="s">
        <v>189</v>
      </c>
      <c r="J145" s="41" t="s">
        <v>316</v>
      </c>
      <c r="K145" s="28"/>
      <c r="L145" s="30"/>
      <c r="M145" s="28"/>
      <c r="N145" s="30"/>
      <c r="O145" s="31" t="s">
        <v>189</v>
      </c>
      <c r="P145" s="41" t="s">
        <v>317</v>
      </c>
    </row>
    <row r="146" spans="1:16" ht="180">
      <c r="A146" s="6" t="s">
        <v>187</v>
      </c>
      <c r="B146" s="2" t="s">
        <v>201</v>
      </c>
      <c r="C146" s="2">
        <v>3</v>
      </c>
      <c r="D146" s="18" t="s">
        <v>212</v>
      </c>
      <c r="E146" s="18" t="s">
        <v>3</v>
      </c>
      <c r="F146" s="5" t="s">
        <v>213</v>
      </c>
      <c r="G146" s="22" t="s">
        <v>189</v>
      </c>
      <c r="H146" s="33" t="s">
        <v>214</v>
      </c>
      <c r="I146" s="31" t="s">
        <v>189</v>
      </c>
      <c r="J146" s="33" t="s">
        <v>215</v>
      </c>
      <c r="K146" s="28"/>
      <c r="L146" s="30"/>
      <c r="M146" s="28"/>
      <c r="N146" s="30"/>
      <c r="O146" s="31" t="s">
        <v>189</v>
      </c>
      <c r="P146" s="33" t="s">
        <v>216</v>
      </c>
    </row>
    <row r="147" spans="1:16" ht="135">
      <c r="A147" s="6" t="s">
        <v>187</v>
      </c>
      <c r="B147" s="2" t="s">
        <v>201</v>
      </c>
      <c r="C147" s="2">
        <v>4</v>
      </c>
      <c r="D147" s="18" t="s">
        <v>63</v>
      </c>
      <c r="E147" s="18" t="s">
        <v>63</v>
      </c>
      <c r="F147" s="5" t="s">
        <v>318</v>
      </c>
      <c r="G147" s="22" t="s">
        <v>189</v>
      </c>
      <c r="H147" s="41" t="s">
        <v>319</v>
      </c>
      <c r="I147" s="31" t="s">
        <v>189</v>
      </c>
      <c r="J147" s="41" t="s">
        <v>320</v>
      </c>
      <c r="K147" s="28"/>
      <c r="L147" s="30"/>
      <c r="M147" s="31" t="s">
        <v>189</v>
      </c>
      <c r="N147" s="41" t="s">
        <v>321</v>
      </c>
      <c r="O147" s="31" t="s">
        <v>189</v>
      </c>
      <c r="P147" s="41" t="s">
        <v>322</v>
      </c>
    </row>
    <row r="148" spans="1:16" ht="120">
      <c r="A148" s="6" t="s">
        <v>187</v>
      </c>
      <c r="B148" s="2" t="s">
        <v>201</v>
      </c>
      <c r="C148" s="2">
        <v>5</v>
      </c>
      <c r="D148" s="18" t="s">
        <v>63</v>
      </c>
      <c r="E148" s="18" t="s">
        <v>63</v>
      </c>
      <c r="F148" s="5" t="s">
        <v>323</v>
      </c>
      <c r="G148" s="22" t="s">
        <v>189</v>
      </c>
      <c r="H148" s="41" t="s">
        <v>324</v>
      </c>
      <c r="I148" s="28"/>
      <c r="J148" s="30"/>
      <c r="K148" s="31" t="s">
        <v>189</v>
      </c>
      <c r="L148" s="41" t="s">
        <v>325</v>
      </c>
      <c r="M148" s="28"/>
      <c r="N148" s="30"/>
      <c r="O148" s="31" t="s">
        <v>189</v>
      </c>
      <c r="P148" s="41" t="s">
        <v>326</v>
      </c>
    </row>
    <row r="149" spans="1:16" ht="150">
      <c r="A149" s="6" t="s">
        <v>187</v>
      </c>
      <c r="B149" s="2" t="s">
        <v>201</v>
      </c>
      <c r="C149" s="2">
        <v>6</v>
      </c>
      <c r="D149" s="18" t="s">
        <v>63</v>
      </c>
      <c r="E149" s="18" t="s">
        <v>63</v>
      </c>
      <c r="F149" s="5" t="s">
        <v>327</v>
      </c>
      <c r="G149" s="22" t="s">
        <v>189</v>
      </c>
      <c r="H149" s="41" t="s">
        <v>328</v>
      </c>
      <c r="I149" s="31" t="s">
        <v>189</v>
      </c>
      <c r="J149" s="41" t="s">
        <v>329</v>
      </c>
      <c r="K149" s="36"/>
      <c r="L149" s="32"/>
      <c r="M149" s="31" t="s">
        <v>189</v>
      </c>
      <c r="N149" s="41" t="s">
        <v>330</v>
      </c>
      <c r="O149" s="26"/>
      <c r="P149" s="27"/>
    </row>
    <row r="150" spans="1:16" ht="135">
      <c r="A150" s="6" t="s">
        <v>187</v>
      </c>
      <c r="B150" s="2" t="s">
        <v>201</v>
      </c>
      <c r="C150" s="2">
        <v>7</v>
      </c>
      <c r="D150" s="18" t="s">
        <v>222</v>
      </c>
      <c r="E150" s="18" t="s">
        <v>3</v>
      </c>
      <c r="F150" s="5" t="s">
        <v>223</v>
      </c>
      <c r="G150" s="23"/>
      <c r="H150" s="21"/>
      <c r="I150" s="23"/>
      <c r="J150" s="21"/>
      <c r="K150" s="24" t="s">
        <v>20</v>
      </c>
      <c r="L150" s="33" t="s">
        <v>224</v>
      </c>
      <c r="M150" s="24" t="s">
        <v>20</v>
      </c>
      <c r="N150" s="33" t="s">
        <v>225</v>
      </c>
      <c r="O150" s="24" t="s">
        <v>20</v>
      </c>
      <c r="P150" s="33" t="s">
        <v>226</v>
      </c>
    </row>
    <row r="152" spans="1:16">
      <c r="H152">
        <v>3</v>
      </c>
      <c r="J152">
        <v>2</v>
      </c>
      <c r="L152">
        <v>0</v>
      </c>
      <c r="N152">
        <v>3</v>
      </c>
      <c r="P152">
        <v>3</v>
      </c>
    </row>
    <row r="153" spans="1:16">
      <c r="H153">
        <v>2</v>
      </c>
      <c r="J153">
        <v>2</v>
      </c>
      <c r="L153" s="42">
        <v>3</v>
      </c>
      <c r="N153">
        <v>1</v>
      </c>
      <c r="P153">
        <v>2</v>
      </c>
    </row>
    <row r="154" spans="1:16">
      <c r="H154">
        <v>3</v>
      </c>
      <c r="J154">
        <v>3</v>
      </c>
      <c r="N154">
        <v>3</v>
      </c>
      <c r="P154">
        <v>3</v>
      </c>
    </row>
    <row r="155" spans="1:16">
      <c r="H155">
        <v>3</v>
      </c>
      <c r="J155" s="42">
        <v>3</v>
      </c>
      <c r="N155" s="42">
        <v>0</v>
      </c>
      <c r="P155">
        <v>3</v>
      </c>
    </row>
    <row r="156" spans="1:16">
      <c r="H156" s="42">
        <v>3</v>
      </c>
      <c r="P156" s="42">
        <v>3</v>
      </c>
    </row>
    <row r="157" spans="1:16">
      <c r="H157" s="42">
        <v>3</v>
      </c>
    </row>
    <row r="158" spans="1:16">
      <c r="H158" s="45">
        <f>AVERAGE(H152:H157)</f>
        <v>2.8333333333333335</v>
      </c>
      <c r="J158">
        <f>AVERAGE(J152:J157)</f>
        <v>2.5</v>
      </c>
      <c r="L158">
        <f>AVERAGE(L152:L157)</f>
        <v>1.5</v>
      </c>
      <c r="N158" s="45">
        <f>AVERAGE(N152:N157)</f>
        <v>1.75</v>
      </c>
      <c r="P158">
        <f>AVERAGE(P152:P157)</f>
        <v>2.8</v>
      </c>
    </row>
  </sheetData>
  <autoFilter ref="A2:P150" xr:uid="{C8A9DA44-7AF0-4FFA-BE00-EEEDBE8E134C}"/>
  <phoneticPr fontId="18"/>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A17B9-2C9D-4CCA-9A14-02D52C36195F}">
  <dimension ref="A1:BF59"/>
  <sheetViews>
    <sheetView topLeftCell="A31" zoomScale="85" zoomScaleNormal="85" workbookViewId="0">
      <selection activeCell="Q51" sqref="Q51"/>
    </sheetView>
  </sheetViews>
  <sheetFormatPr defaultRowHeight="17.649999999999999"/>
  <cols>
    <col min="1" max="1" width="19.5625" bestFit="1" customWidth="1"/>
    <col min="2" max="16" width="6.75" customWidth="1"/>
    <col min="17" max="17" width="5.75" customWidth="1"/>
    <col min="18" max="18" width="11.0625" bestFit="1" customWidth="1"/>
    <col min="19" max="19" width="15.5625" bestFit="1" customWidth="1"/>
    <col min="20" max="21" width="14.5" bestFit="1" customWidth="1"/>
    <col min="22" max="22" width="18.5" bestFit="1" customWidth="1"/>
    <col min="23" max="23" width="10.5625" bestFit="1" customWidth="1"/>
    <col min="24" max="24" width="5.75" customWidth="1"/>
    <col min="25" max="25" width="17.8125" customWidth="1"/>
    <col min="26" max="30" width="10.75" customWidth="1"/>
    <col min="32" max="32" width="14.8125" bestFit="1" customWidth="1"/>
    <col min="33" max="33" width="15.5625" bestFit="1" customWidth="1"/>
    <col min="34" max="35" width="14.5" bestFit="1" customWidth="1"/>
    <col min="36" max="36" width="18.5" bestFit="1" customWidth="1"/>
    <col min="37" max="37" width="10.5625" bestFit="1" customWidth="1"/>
    <col min="46" max="46" width="14.8125" bestFit="1" customWidth="1"/>
    <col min="47" max="47" width="15.5625" bestFit="1" customWidth="1"/>
    <col min="48" max="49" width="14.5" bestFit="1" customWidth="1"/>
    <col min="50" max="50" width="18.5" bestFit="1" customWidth="1"/>
    <col min="51" max="51" width="10.5625" bestFit="1" customWidth="1"/>
  </cols>
  <sheetData>
    <row r="1" spans="1:58">
      <c r="A1" s="11" t="s">
        <v>17</v>
      </c>
      <c r="R1" s="8" t="s">
        <v>331</v>
      </c>
      <c r="S1" t="s">
        <v>332</v>
      </c>
      <c r="AF1" s="8" t="s">
        <v>331</v>
      </c>
      <c r="AG1" t="s">
        <v>62</v>
      </c>
      <c r="AT1" s="8" t="s">
        <v>331</v>
      </c>
      <c r="AU1" t="s">
        <v>227</v>
      </c>
    </row>
    <row r="2" spans="1:58">
      <c r="A2" s="64"/>
      <c r="B2" s="64" t="s">
        <v>333</v>
      </c>
      <c r="C2" s="64"/>
      <c r="D2" s="64"/>
      <c r="E2" s="64" t="s">
        <v>8</v>
      </c>
      <c r="F2" s="64"/>
      <c r="G2" s="64"/>
      <c r="H2" s="64" t="s">
        <v>10</v>
      </c>
      <c r="I2" s="64"/>
      <c r="J2" s="64"/>
      <c r="K2" s="64" t="s">
        <v>12</v>
      </c>
      <c r="L2" s="64"/>
      <c r="M2" s="64"/>
      <c r="N2" s="64" t="s">
        <v>334</v>
      </c>
      <c r="O2" s="64"/>
      <c r="P2" s="64"/>
      <c r="R2" s="8" t="s">
        <v>335</v>
      </c>
      <c r="S2" t="s">
        <v>336</v>
      </c>
      <c r="AF2" s="8" t="s">
        <v>335</v>
      </c>
      <c r="AG2" t="s">
        <v>336</v>
      </c>
      <c r="AT2" s="8" t="s">
        <v>335</v>
      </c>
      <c r="AU2" t="s">
        <v>336</v>
      </c>
    </row>
    <row r="3" spans="1:58">
      <c r="A3" s="64"/>
      <c r="B3" s="13" t="s">
        <v>3</v>
      </c>
      <c r="C3" s="13" t="s">
        <v>63</v>
      </c>
      <c r="D3" s="13" t="s">
        <v>337</v>
      </c>
      <c r="E3" s="13" t="s">
        <v>3</v>
      </c>
      <c r="F3" s="13" t="s">
        <v>63</v>
      </c>
      <c r="G3" s="13" t="s">
        <v>337</v>
      </c>
      <c r="H3" s="13" t="s">
        <v>3</v>
      </c>
      <c r="I3" s="13" t="s">
        <v>63</v>
      </c>
      <c r="J3" s="13" t="s">
        <v>337</v>
      </c>
      <c r="K3" s="13" t="s">
        <v>3</v>
      </c>
      <c r="L3" s="13" t="s">
        <v>63</v>
      </c>
      <c r="M3" s="13" t="s">
        <v>337</v>
      </c>
      <c r="N3" s="13" t="s">
        <v>3</v>
      </c>
      <c r="O3" s="13" t="s">
        <v>63</v>
      </c>
      <c r="P3" s="13" t="s">
        <v>337</v>
      </c>
    </row>
    <row r="4" spans="1:58">
      <c r="A4" s="14" t="s">
        <v>338</v>
      </c>
      <c r="B4" s="2">
        <f>$Z$5</f>
        <v>0</v>
      </c>
      <c r="C4" s="2">
        <v>0</v>
      </c>
      <c r="D4" s="10">
        <f>SUM(B4:C4)</f>
        <v>0</v>
      </c>
      <c r="E4" s="2">
        <f>$AA$5</f>
        <v>6</v>
      </c>
      <c r="F4" s="2">
        <v>0</v>
      </c>
      <c r="G4" s="10">
        <f>SUM(E4:F4)</f>
        <v>6</v>
      </c>
      <c r="H4" s="2">
        <f>$AB$5</f>
        <v>3</v>
      </c>
      <c r="I4" s="2">
        <v>0</v>
      </c>
      <c r="J4" s="10">
        <f>SUM(H4:I4)</f>
        <v>3</v>
      </c>
      <c r="K4" s="2">
        <f>$AC$5</f>
        <v>4</v>
      </c>
      <c r="L4" s="2">
        <v>0</v>
      </c>
      <c r="M4" s="10">
        <f>SUM(K4:L4)</f>
        <v>4</v>
      </c>
      <c r="N4" s="2">
        <f>$AD$5</f>
        <v>4</v>
      </c>
      <c r="O4" s="2">
        <v>0</v>
      </c>
      <c r="P4" s="10">
        <f>SUM(N4:O4)</f>
        <v>4</v>
      </c>
      <c r="R4" s="8" t="s">
        <v>339</v>
      </c>
      <c r="S4" t="s">
        <v>340</v>
      </c>
      <c r="T4" t="s">
        <v>341</v>
      </c>
      <c r="U4" t="s">
        <v>342</v>
      </c>
      <c r="V4" t="s">
        <v>343</v>
      </c>
      <c r="W4" t="s">
        <v>344</v>
      </c>
      <c r="Y4" t="s">
        <v>339</v>
      </c>
      <c r="Z4" t="s">
        <v>340</v>
      </c>
      <c r="AA4" t="s">
        <v>341</v>
      </c>
      <c r="AB4" t="s">
        <v>342</v>
      </c>
      <c r="AC4" t="s">
        <v>343</v>
      </c>
      <c r="AD4" t="s">
        <v>344</v>
      </c>
      <c r="AF4" s="8" t="s">
        <v>339</v>
      </c>
      <c r="AG4" t="s">
        <v>340</v>
      </c>
      <c r="AH4" t="s">
        <v>341</v>
      </c>
      <c r="AI4" t="s">
        <v>342</v>
      </c>
      <c r="AJ4" t="s">
        <v>343</v>
      </c>
      <c r="AK4" t="s">
        <v>344</v>
      </c>
      <c r="AM4" t="s">
        <v>339</v>
      </c>
      <c r="AN4" t="s">
        <v>340</v>
      </c>
      <c r="AO4" t="s">
        <v>341</v>
      </c>
      <c r="AP4" t="s">
        <v>342</v>
      </c>
      <c r="AQ4" t="s">
        <v>343</v>
      </c>
      <c r="AR4" t="s">
        <v>344</v>
      </c>
      <c r="AT4" s="8" t="s">
        <v>339</v>
      </c>
      <c r="AU4" t="s">
        <v>340</v>
      </c>
      <c r="AV4" t="s">
        <v>341</v>
      </c>
      <c r="AW4" t="s">
        <v>342</v>
      </c>
      <c r="AX4" t="s">
        <v>343</v>
      </c>
      <c r="AY4" t="s">
        <v>344</v>
      </c>
      <c r="BA4" t="s">
        <v>339</v>
      </c>
      <c r="BB4" t="s">
        <v>340</v>
      </c>
      <c r="BC4" t="s">
        <v>341</v>
      </c>
      <c r="BD4" t="s">
        <v>342</v>
      </c>
      <c r="BE4" t="s">
        <v>343</v>
      </c>
      <c r="BF4" t="s">
        <v>344</v>
      </c>
    </row>
    <row r="5" spans="1:58">
      <c r="A5" s="14" t="s">
        <v>345</v>
      </c>
      <c r="B5" s="2">
        <f t="shared" ref="B5:B13" si="0">$Z$5</f>
        <v>0</v>
      </c>
      <c r="C5" s="2">
        <v>0</v>
      </c>
      <c r="D5" s="10">
        <v>0</v>
      </c>
      <c r="E5" s="2">
        <f t="shared" ref="E5:E13" si="1">$AA$5</f>
        <v>6</v>
      </c>
      <c r="F5" s="2">
        <v>0</v>
      </c>
      <c r="G5" s="10">
        <f t="shared" ref="G5:G13" si="2">SUM(E5:F5)</f>
        <v>6</v>
      </c>
      <c r="H5" s="2">
        <f t="shared" ref="H5:H13" si="3">$AB$5</f>
        <v>3</v>
      </c>
      <c r="I5" s="2">
        <v>0</v>
      </c>
      <c r="J5" s="10">
        <f t="shared" ref="J5:J13" si="4">SUM(H5:I5)</f>
        <v>3</v>
      </c>
      <c r="K5" s="2">
        <f t="shared" ref="K5:K13" si="5">$AC$5</f>
        <v>4</v>
      </c>
      <c r="L5" s="2">
        <v>0</v>
      </c>
      <c r="M5" s="10">
        <f t="shared" ref="M5:M13" si="6">SUM(K5:L5)</f>
        <v>4</v>
      </c>
      <c r="N5" s="2">
        <f t="shared" ref="N5:N13" si="7">$AD$5</f>
        <v>4</v>
      </c>
      <c r="O5" s="2">
        <v>0</v>
      </c>
      <c r="P5" s="10">
        <f t="shared" ref="P5:P13" si="8">SUM(N5:O5)</f>
        <v>4</v>
      </c>
      <c r="R5" s="9" t="s">
        <v>346</v>
      </c>
      <c r="T5">
        <v>6</v>
      </c>
      <c r="U5">
        <v>3</v>
      </c>
      <c r="V5">
        <v>4</v>
      </c>
      <c r="W5">
        <v>4</v>
      </c>
      <c r="Y5" t="s">
        <v>346</v>
      </c>
      <c r="AA5">
        <v>6</v>
      </c>
      <c r="AB5">
        <v>3</v>
      </c>
      <c r="AC5">
        <v>4</v>
      </c>
      <c r="AD5">
        <v>4</v>
      </c>
      <c r="AF5" s="9" t="s">
        <v>338</v>
      </c>
      <c r="AG5">
        <v>3</v>
      </c>
      <c r="AH5">
        <v>1</v>
      </c>
      <c r="AK5">
        <v>1</v>
      </c>
      <c r="AM5" t="s">
        <v>338</v>
      </c>
      <c r="AN5">
        <v>3</v>
      </c>
      <c r="AO5">
        <v>1</v>
      </c>
      <c r="AR5">
        <v>1</v>
      </c>
      <c r="AT5" s="9" t="s">
        <v>338</v>
      </c>
      <c r="AU5">
        <v>2</v>
      </c>
      <c r="AV5">
        <v>1</v>
      </c>
      <c r="AW5">
        <v>1</v>
      </c>
      <c r="AX5">
        <v>1</v>
      </c>
      <c r="AY5">
        <v>3</v>
      </c>
      <c r="BA5" t="s">
        <v>338</v>
      </c>
      <c r="BB5">
        <v>2</v>
      </c>
      <c r="BC5">
        <v>1</v>
      </c>
      <c r="BD5">
        <v>1</v>
      </c>
      <c r="BE5">
        <v>1</v>
      </c>
      <c r="BF5">
        <v>3</v>
      </c>
    </row>
    <row r="6" spans="1:58">
      <c r="A6" s="14" t="s">
        <v>347</v>
      </c>
      <c r="B6" s="2">
        <f t="shared" si="0"/>
        <v>0</v>
      </c>
      <c r="C6" s="2">
        <v>0</v>
      </c>
      <c r="D6" s="10">
        <v>0</v>
      </c>
      <c r="E6" s="2">
        <f t="shared" si="1"/>
        <v>6</v>
      </c>
      <c r="F6" s="2">
        <v>0</v>
      </c>
      <c r="G6" s="10">
        <f t="shared" si="2"/>
        <v>6</v>
      </c>
      <c r="H6" s="2">
        <f t="shared" si="3"/>
        <v>3</v>
      </c>
      <c r="I6" s="2">
        <v>0</v>
      </c>
      <c r="J6" s="10">
        <f t="shared" si="4"/>
        <v>3</v>
      </c>
      <c r="K6" s="2">
        <f t="shared" si="5"/>
        <v>4</v>
      </c>
      <c r="L6" s="2">
        <v>0</v>
      </c>
      <c r="M6" s="10">
        <f t="shared" si="6"/>
        <v>4</v>
      </c>
      <c r="N6" s="2">
        <f t="shared" si="7"/>
        <v>4</v>
      </c>
      <c r="O6" s="2">
        <v>0</v>
      </c>
      <c r="P6" s="10">
        <f t="shared" si="8"/>
        <v>4</v>
      </c>
      <c r="R6" s="9" t="s">
        <v>348</v>
      </c>
      <c r="T6">
        <v>6</v>
      </c>
      <c r="U6">
        <v>3</v>
      </c>
      <c r="V6">
        <v>4</v>
      </c>
      <c r="W6">
        <v>4</v>
      </c>
      <c r="Y6" t="s">
        <v>348</v>
      </c>
      <c r="AA6">
        <v>6</v>
      </c>
      <c r="AB6">
        <v>3</v>
      </c>
      <c r="AC6">
        <v>4</v>
      </c>
      <c r="AD6">
        <v>4</v>
      </c>
      <c r="AF6" s="9" t="s">
        <v>345</v>
      </c>
      <c r="AG6">
        <v>3</v>
      </c>
      <c r="AH6">
        <v>1</v>
      </c>
      <c r="AK6">
        <v>1</v>
      </c>
      <c r="AM6" t="s">
        <v>345</v>
      </c>
      <c r="AN6">
        <v>3</v>
      </c>
      <c r="AO6">
        <v>1</v>
      </c>
      <c r="AR6">
        <v>1</v>
      </c>
      <c r="AT6" s="9" t="s">
        <v>345</v>
      </c>
      <c r="AU6">
        <v>2</v>
      </c>
      <c r="AV6">
        <v>1</v>
      </c>
      <c r="AW6">
        <v>1</v>
      </c>
      <c r="AX6">
        <v>1</v>
      </c>
      <c r="AY6">
        <v>3</v>
      </c>
      <c r="BA6" t="s">
        <v>345</v>
      </c>
      <c r="BB6">
        <v>2</v>
      </c>
      <c r="BC6">
        <v>1</v>
      </c>
      <c r="BD6">
        <v>1</v>
      </c>
      <c r="BE6">
        <v>1</v>
      </c>
      <c r="BF6">
        <v>3</v>
      </c>
    </row>
    <row r="7" spans="1:58">
      <c r="A7" s="14" t="s">
        <v>349</v>
      </c>
      <c r="B7" s="2">
        <f t="shared" si="0"/>
        <v>0</v>
      </c>
      <c r="C7" s="2">
        <v>0</v>
      </c>
      <c r="D7" s="10">
        <v>0</v>
      </c>
      <c r="E7" s="2">
        <f t="shared" si="1"/>
        <v>6</v>
      </c>
      <c r="F7" s="2">
        <v>0</v>
      </c>
      <c r="G7" s="10">
        <f t="shared" si="2"/>
        <v>6</v>
      </c>
      <c r="H7" s="2">
        <f t="shared" si="3"/>
        <v>3</v>
      </c>
      <c r="I7" s="2">
        <v>0</v>
      </c>
      <c r="J7" s="10">
        <f t="shared" si="4"/>
        <v>3</v>
      </c>
      <c r="K7" s="2">
        <f t="shared" si="5"/>
        <v>4</v>
      </c>
      <c r="L7" s="2">
        <v>0</v>
      </c>
      <c r="M7" s="10">
        <f t="shared" si="6"/>
        <v>4</v>
      </c>
      <c r="N7" s="2">
        <f t="shared" si="7"/>
        <v>4</v>
      </c>
      <c r="O7" s="2">
        <v>0</v>
      </c>
      <c r="P7" s="10">
        <f t="shared" si="8"/>
        <v>4</v>
      </c>
      <c r="AF7" s="9" t="s">
        <v>347</v>
      </c>
      <c r="AG7">
        <v>3</v>
      </c>
      <c r="AH7">
        <v>1</v>
      </c>
      <c r="AK7">
        <v>1</v>
      </c>
      <c r="AM7" t="s">
        <v>347</v>
      </c>
      <c r="AN7">
        <v>3</v>
      </c>
      <c r="AO7">
        <v>1</v>
      </c>
      <c r="AR7">
        <v>1</v>
      </c>
      <c r="AT7" s="9" t="s">
        <v>347</v>
      </c>
      <c r="AU7">
        <v>2</v>
      </c>
      <c r="AV7">
        <v>1</v>
      </c>
      <c r="AW7">
        <v>1</v>
      </c>
      <c r="AX7">
        <v>1</v>
      </c>
      <c r="AY7">
        <v>3</v>
      </c>
      <c r="BA7" t="s">
        <v>347</v>
      </c>
      <c r="BB7">
        <v>2</v>
      </c>
      <c r="BC7">
        <v>1</v>
      </c>
      <c r="BD7">
        <v>1</v>
      </c>
      <c r="BE7">
        <v>1</v>
      </c>
      <c r="BF7">
        <v>3</v>
      </c>
    </row>
    <row r="8" spans="1:58">
      <c r="A8" s="14" t="s">
        <v>350</v>
      </c>
      <c r="B8" s="2">
        <f t="shared" si="0"/>
        <v>0</v>
      </c>
      <c r="C8" s="2">
        <v>0</v>
      </c>
      <c r="D8" s="10">
        <v>0</v>
      </c>
      <c r="E8" s="2">
        <f t="shared" si="1"/>
        <v>6</v>
      </c>
      <c r="F8" s="2">
        <v>0</v>
      </c>
      <c r="G8" s="10">
        <f t="shared" si="2"/>
        <v>6</v>
      </c>
      <c r="H8" s="2">
        <f t="shared" si="3"/>
        <v>3</v>
      </c>
      <c r="I8" s="2">
        <v>0</v>
      </c>
      <c r="J8" s="10">
        <f t="shared" si="4"/>
        <v>3</v>
      </c>
      <c r="K8" s="2">
        <f t="shared" si="5"/>
        <v>4</v>
      </c>
      <c r="L8" s="2">
        <v>0</v>
      </c>
      <c r="M8" s="10">
        <f t="shared" si="6"/>
        <v>4</v>
      </c>
      <c r="N8" s="2">
        <f t="shared" si="7"/>
        <v>4</v>
      </c>
      <c r="O8" s="2">
        <v>0</v>
      </c>
      <c r="P8" s="10">
        <f t="shared" si="8"/>
        <v>4</v>
      </c>
      <c r="AF8" s="9" t="s">
        <v>349</v>
      </c>
      <c r="AG8">
        <v>3</v>
      </c>
      <c r="AH8">
        <v>1</v>
      </c>
      <c r="AK8">
        <v>1</v>
      </c>
      <c r="AM8" t="s">
        <v>349</v>
      </c>
      <c r="AN8">
        <v>3</v>
      </c>
      <c r="AO8">
        <v>1</v>
      </c>
      <c r="AR8">
        <v>1</v>
      </c>
      <c r="AT8" s="9" t="s">
        <v>349</v>
      </c>
      <c r="AU8">
        <v>2</v>
      </c>
      <c r="AV8">
        <v>1</v>
      </c>
      <c r="AW8">
        <v>1</v>
      </c>
      <c r="AX8">
        <v>1</v>
      </c>
      <c r="AY8">
        <v>3</v>
      </c>
      <c r="BA8" t="s">
        <v>349</v>
      </c>
      <c r="BB8">
        <v>2</v>
      </c>
      <c r="BC8">
        <v>1</v>
      </c>
      <c r="BD8">
        <v>1</v>
      </c>
      <c r="BE8">
        <v>1</v>
      </c>
      <c r="BF8">
        <v>3</v>
      </c>
    </row>
    <row r="9" spans="1:58">
      <c r="A9" s="14" t="s">
        <v>351</v>
      </c>
      <c r="B9" s="2">
        <f t="shared" si="0"/>
        <v>0</v>
      </c>
      <c r="C9" s="2">
        <v>0</v>
      </c>
      <c r="D9" s="10">
        <v>0</v>
      </c>
      <c r="E9" s="2">
        <f t="shared" si="1"/>
        <v>6</v>
      </c>
      <c r="F9" s="2">
        <v>0</v>
      </c>
      <c r="G9" s="10">
        <f t="shared" si="2"/>
        <v>6</v>
      </c>
      <c r="H9" s="2">
        <f t="shared" si="3"/>
        <v>3</v>
      </c>
      <c r="I9" s="2">
        <v>0</v>
      </c>
      <c r="J9" s="10">
        <f t="shared" si="4"/>
        <v>3</v>
      </c>
      <c r="K9" s="2">
        <f t="shared" si="5"/>
        <v>4</v>
      </c>
      <c r="L9" s="2">
        <v>0</v>
      </c>
      <c r="M9" s="10">
        <f t="shared" si="6"/>
        <v>4</v>
      </c>
      <c r="N9" s="2">
        <f t="shared" si="7"/>
        <v>4</v>
      </c>
      <c r="O9" s="2">
        <v>0</v>
      </c>
      <c r="P9" s="10">
        <f t="shared" si="8"/>
        <v>4</v>
      </c>
      <c r="AF9" s="9" t="s">
        <v>350</v>
      </c>
      <c r="AG9">
        <v>3</v>
      </c>
      <c r="AH9">
        <v>1</v>
      </c>
      <c r="AK9">
        <v>1</v>
      </c>
      <c r="AM9" t="s">
        <v>350</v>
      </c>
      <c r="AN9">
        <v>3</v>
      </c>
      <c r="AO9">
        <v>1</v>
      </c>
      <c r="AR9">
        <v>1</v>
      </c>
      <c r="AT9" s="9" t="s">
        <v>350</v>
      </c>
      <c r="AU9">
        <v>2</v>
      </c>
      <c r="AV9">
        <v>1</v>
      </c>
      <c r="AW9">
        <v>1</v>
      </c>
      <c r="AX9">
        <v>1</v>
      </c>
      <c r="AY9">
        <v>3</v>
      </c>
      <c r="BA9" t="s">
        <v>350</v>
      </c>
      <c r="BB9">
        <v>2</v>
      </c>
      <c r="BC9">
        <v>1</v>
      </c>
      <c r="BD9">
        <v>1</v>
      </c>
      <c r="BE9">
        <v>1</v>
      </c>
      <c r="BF9">
        <v>3</v>
      </c>
    </row>
    <row r="10" spans="1:58">
      <c r="A10" s="14" t="s">
        <v>352</v>
      </c>
      <c r="B10" s="2">
        <f t="shared" si="0"/>
        <v>0</v>
      </c>
      <c r="C10" s="2">
        <v>0</v>
      </c>
      <c r="D10" s="10">
        <v>0</v>
      </c>
      <c r="E10" s="2">
        <f t="shared" si="1"/>
        <v>6</v>
      </c>
      <c r="F10" s="2">
        <v>0</v>
      </c>
      <c r="G10" s="10">
        <f t="shared" si="2"/>
        <v>6</v>
      </c>
      <c r="H10" s="2">
        <f t="shared" si="3"/>
        <v>3</v>
      </c>
      <c r="I10" s="2">
        <v>0</v>
      </c>
      <c r="J10" s="10">
        <f t="shared" si="4"/>
        <v>3</v>
      </c>
      <c r="K10" s="2">
        <f t="shared" si="5"/>
        <v>4</v>
      </c>
      <c r="L10" s="2">
        <v>0</v>
      </c>
      <c r="M10" s="10">
        <f t="shared" si="6"/>
        <v>4</v>
      </c>
      <c r="N10" s="2">
        <f t="shared" si="7"/>
        <v>4</v>
      </c>
      <c r="O10" s="2">
        <v>0</v>
      </c>
      <c r="P10" s="10">
        <f t="shared" si="8"/>
        <v>4</v>
      </c>
      <c r="AF10" s="9" t="s">
        <v>351</v>
      </c>
      <c r="AG10">
        <v>3</v>
      </c>
      <c r="AH10">
        <v>1</v>
      </c>
      <c r="AK10">
        <v>1</v>
      </c>
      <c r="AM10" t="s">
        <v>351</v>
      </c>
      <c r="AN10">
        <v>3</v>
      </c>
      <c r="AO10">
        <v>1</v>
      </c>
      <c r="AR10">
        <v>1</v>
      </c>
      <c r="AT10" s="9" t="s">
        <v>351</v>
      </c>
      <c r="AU10">
        <v>2</v>
      </c>
      <c r="AV10">
        <v>1</v>
      </c>
      <c r="AW10">
        <v>1</v>
      </c>
      <c r="AX10">
        <v>1</v>
      </c>
      <c r="AY10">
        <v>3</v>
      </c>
      <c r="BA10" t="s">
        <v>351</v>
      </c>
      <c r="BB10">
        <v>2</v>
      </c>
      <c r="BC10">
        <v>1</v>
      </c>
      <c r="BD10">
        <v>1</v>
      </c>
      <c r="BE10">
        <v>1</v>
      </c>
      <c r="BF10">
        <v>3</v>
      </c>
    </row>
    <row r="11" spans="1:58">
      <c r="A11" s="14" t="s">
        <v>353</v>
      </c>
      <c r="B11" s="2">
        <f t="shared" si="0"/>
        <v>0</v>
      </c>
      <c r="C11" s="2">
        <v>0</v>
      </c>
      <c r="D11" s="10">
        <v>0</v>
      </c>
      <c r="E11" s="2">
        <f t="shared" si="1"/>
        <v>6</v>
      </c>
      <c r="F11" s="2">
        <v>0</v>
      </c>
      <c r="G11" s="10">
        <f t="shared" si="2"/>
        <v>6</v>
      </c>
      <c r="H11" s="2">
        <f t="shared" si="3"/>
        <v>3</v>
      </c>
      <c r="I11" s="2">
        <v>0</v>
      </c>
      <c r="J11" s="10">
        <f t="shared" si="4"/>
        <v>3</v>
      </c>
      <c r="K11" s="2">
        <f t="shared" si="5"/>
        <v>4</v>
      </c>
      <c r="L11" s="2">
        <v>0</v>
      </c>
      <c r="M11" s="10">
        <f t="shared" si="6"/>
        <v>4</v>
      </c>
      <c r="N11" s="2">
        <f t="shared" si="7"/>
        <v>4</v>
      </c>
      <c r="O11" s="2">
        <v>0</v>
      </c>
      <c r="P11" s="10">
        <f t="shared" si="8"/>
        <v>4</v>
      </c>
      <c r="AF11" s="9" t="s">
        <v>352</v>
      </c>
      <c r="AG11">
        <v>3</v>
      </c>
      <c r="AH11">
        <v>1</v>
      </c>
      <c r="AK11">
        <v>1</v>
      </c>
      <c r="AM11" t="s">
        <v>352</v>
      </c>
      <c r="AN11">
        <v>3</v>
      </c>
      <c r="AO11">
        <v>1</v>
      </c>
      <c r="AR11">
        <v>1</v>
      </c>
      <c r="AT11" s="9" t="s">
        <v>352</v>
      </c>
      <c r="AU11">
        <v>2</v>
      </c>
      <c r="AV11">
        <v>1</v>
      </c>
      <c r="AW11">
        <v>1</v>
      </c>
      <c r="AX11">
        <v>1</v>
      </c>
      <c r="AY11">
        <v>3</v>
      </c>
      <c r="BA11" t="s">
        <v>352</v>
      </c>
      <c r="BB11">
        <v>2</v>
      </c>
      <c r="BC11">
        <v>1</v>
      </c>
      <c r="BD11">
        <v>1</v>
      </c>
      <c r="BE11">
        <v>1</v>
      </c>
      <c r="BF11">
        <v>3</v>
      </c>
    </row>
    <row r="12" spans="1:58">
      <c r="A12" s="14" t="s">
        <v>354</v>
      </c>
      <c r="B12" s="2">
        <f t="shared" si="0"/>
        <v>0</v>
      </c>
      <c r="C12" s="2">
        <v>0</v>
      </c>
      <c r="D12" s="10">
        <v>0</v>
      </c>
      <c r="E12" s="2">
        <f t="shared" si="1"/>
        <v>6</v>
      </c>
      <c r="F12" s="2">
        <v>0</v>
      </c>
      <c r="G12" s="10">
        <f t="shared" si="2"/>
        <v>6</v>
      </c>
      <c r="H12" s="2">
        <f t="shared" si="3"/>
        <v>3</v>
      </c>
      <c r="I12" s="2">
        <v>0</v>
      </c>
      <c r="J12" s="10">
        <f t="shared" si="4"/>
        <v>3</v>
      </c>
      <c r="K12" s="2">
        <f t="shared" si="5"/>
        <v>4</v>
      </c>
      <c r="L12" s="2">
        <v>0</v>
      </c>
      <c r="M12" s="10">
        <f t="shared" si="6"/>
        <v>4</v>
      </c>
      <c r="N12" s="2">
        <f t="shared" si="7"/>
        <v>4</v>
      </c>
      <c r="O12" s="2">
        <v>0</v>
      </c>
      <c r="P12" s="10">
        <f t="shared" si="8"/>
        <v>4</v>
      </c>
      <c r="AF12" s="9" t="s">
        <v>353</v>
      </c>
      <c r="AG12">
        <v>3</v>
      </c>
      <c r="AH12">
        <v>1</v>
      </c>
      <c r="AK12">
        <v>1</v>
      </c>
      <c r="AM12" t="s">
        <v>353</v>
      </c>
      <c r="AN12">
        <v>3</v>
      </c>
      <c r="AO12">
        <v>1</v>
      </c>
      <c r="AR12">
        <v>1</v>
      </c>
      <c r="AT12" s="9" t="s">
        <v>353</v>
      </c>
      <c r="AU12">
        <v>2</v>
      </c>
      <c r="AV12">
        <v>1</v>
      </c>
      <c r="AW12">
        <v>1</v>
      </c>
      <c r="AX12">
        <v>1</v>
      </c>
      <c r="AY12">
        <v>3</v>
      </c>
      <c r="BA12" t="s">
        <v>353</v>
      </c>
      <c r="BB12">
        <v>2</v>
      </c>
      <c r="BC12">
        <v>1</v>
      </c>
      <c r="BD12">
        <v>1</v>
      </c>
      <c r="BE12">
        <v>1</v>
      </c>
      <c r="BF12">
        <v>3</v>
      </c>
    </row>
    <row r="13" spans="1:58">
      <c r="A13" s="14" t="s">
        <v>355</v>
      </c>
      <c r="B13" s="2">
        <f t="shared" si="0"/>
        <v>0</v>
      </c>
      <c r="C13" s="2">
        <v>0</v>
      </c>
      <c r="D13" s="10">
        <v>0</v>
      </c>
      <c r="E13" s="2">
        <f t="shared" si="1"/>
        <v>6</v>
      </c>
      <c r="F13" s="2">
        <v>0</v>
      </c>
      <c r="G13" s="10">
        <f t="shared" si="2"/>
        <v>6</v>
      </c>
      <c r="H13" s="2">
        <f t="shared" si="3"/>
        <v>3</v>
      </c>
      <c r="I13" s="2">
        <v>0</v>
      </c>
      <c r="J13" s="10">
        <f t="shared" si="4"/>
        <v>3</v>
      </c>
      <c r="K13" s="2">
        <f t="shared" si="5"/>
        <v>4</v>
      </c>
      <c r="L13" s="2">
        <v>0</v>
      </c>
      <c r="M13" s="10">
        <f t="shared" si="6"/>
        <v>4</v>
      </c>
      <c r="N13" s="2">
        <f t="shared" si="7"/>
        <v>4</v>
      </c>
      <c r="O13" s="2">
        <v>0</v>
      </c>
      <c r="P13" s="10">
        <f t="shared" si="8"/>
        <v>4</v>
      </c>
      <c r="AF13" s="9" t="s">
        <v>354</v>
      </c>
      <c r="AG13">
        <v>3</v>
      </c>
      <c r="AH13">
        <v>1</v>
      </c>
      <c r="AK13">
        <v>1</v>
      </c>
      <c r="AM13" t="s">
        <v>354</v>
      </c>
      <c r="AN13">
        <v>3</v>
      </c>
      <c r="AO13">
        <v>1</v>
      </c>
      <c r="AR13">
        <v>1</v>
      </c>
      <c r="AT13" s="9" t="s">
        <v>354</v>
      </c>
      <c r="AU13">
        <v>2</v>
      </c>
      <c r="AV13">
        <v>1</v>
      </c>
      <c r="AW13">
        <v>1</v>
      </c>
      <c r="AX13">
        <v>1</v>
      </c>
      <c r="AY13">
        <v>3</v>
      </c>
      <c r="BA13" t="s">
        <v>354</v>
      </c>
      <c r="BB13">
        <v>2</v>
      </c>
      <c r="BC13">
        <v>1</v>
      </c>
      <c r="BD13">
        <v>1</v>
      </c>
      <c r="BE13">
        <v>1</v>
      </c>
      <c r="BF13">
        <v>3</v>
      </c>
    </row>
    <row r="14" spans="1:58">
      <c r="A14" s="13" t="s">
        <v>337</v>
      </c>
      <c r="B14" s="10"/>
      <c r="C14" s="10"/>
      <c r="D14" s="10">
        <f>SUM(D4:D13)</f>
        <v>0</v>
      </c>
      <c r="E14" s="10"/>
      <c r="F14" s="10"/>
      <c r="G14" s="10">
        <f>SUM(G4:G13)</f>
        <v>60</v>
      </c>
      <c r="H14" s="10"/>
      <c r="I14" s="10"/>
      <c r="J14" s="10">
        <f>SUM(J4:J13)</f>
        <v>30</v>
      </c>
      <c r="K14" s="10"/>
      <c r="L14" s="10"/>
      <c r="M14" s="10">
        <f>SUM(M4:M13)</f>
        <v>40</v>
      </c>
      <c r="N14" s="10"/>
      <c r="O14" s="10"/>
      <c r="P14" s="10">
        <f>SUM(P4:P13)</f>
        <v>40</v>
      </c>
      <c r="AF14" s="9" t="s">
        <v>355</v>
      </c>
      <c r="AG14">
        <v>3</v>
      </c>
      <c r="AH14">
        <v>1</v>
      </c>
      <c r="AK14">
        <v>1</v>
      </c>
      <c r="AM14" t="s">
        <v>355</v>
      </c>
      <c r="AN14">
        <v>3</v>
      </c>
      <c r="AO14">
        <v>1</v>
      </c>
      <c r="AR14">
        <v>1</v>
      </c>
      <c r="AT14" s="9" t="s">
        <v>355</v>
      </c>
      <c r="AU14">
        <v>2</v>
      </c>
      <c r="AV14">
        <v>1</v>
      </c>
      <c r="AW14">
        <v>1</v>
      </c>
      <c r="AX14">
        <v>1</v>
      </c>
      <c r="AY14">
        <v>3</v>
      </c>
      <c r="BA14" t="s">
        <v>355</v>
      </c>
      <c r="BB14">
        <v>2</v>
      </c>
      <c r="BC14">
        <v>1</v>
      </c>
      <c r="BD14">
        <v>1</v>
      </c>
      <c r="BE14">
        <v>1</v>
      </c>
      <c r="BF14">
        <v>3</v>
      </c>
    </row>
    <row r="15" spans="1:58">
      <c r="AF15" s="9" t="s">
        <v>348</v>
      </c>
      <c r="AG15">
        <v>30</v>
      </c>
      <c r="AH15">
        <v>10</v>
      </c>
      <c r="AK15">
        <v>10</v>
      </c>
      <c r="AM15" t="s">
        <v>348</v>
      </c>
      <c r="AN15">
        <v>30</v>
      </c>
      <c r="AO15">
        <v>10</v>
      </c>
      <c r="AR15">
        <v>10</v>
      </c>
      <c r="AT15" s="9" t="s">
        <v>348</v>
      </c>
      <c r="AU15">
        <v>20</v>
      </c>
      <c r="AV15">
        <v>10</v>
      </c>
      <c r="AW15">
        <v>10</v>
      </c>
      <c r="AX15">
        <v>10</v>
      </c>
      <c r="AY15">
        <v>30</v>
      </c>
      <c r="BA15" t="s">
        <v>348</v>
      </c>
      <c r="BB15">
        <v>20</v>
      </c>
      <c r="BC15">
        <v>10</v>
      </c>
      <c r="BD15">
        <v>10</v>
      </c>
      <c r="BE15">
        <v>10</v>
      </c>
      <c r="BF15">
        <v>30</v>
      </c>
    </row>
    <row r="16" spans="1:58">
      <c r="A16" s="12" t="s">
        <v>53</v>
      </c>
    </row>
    <row r="17" spans="1:58">
      <c r="A17" s="64"/>
      <c r="B17" s="64" t="s">
        <v>333</v>
      </c>
      <c r="C17" s="64"/>
      <c r="D17" s="64"/>
      <c r="E17" s="64" t="s">
        <v>8</v>
      </c>
      <c r="F17" s="64"/>
      <c r="G17" s="64"/>
      <c r="H17" s="64" t="s">
        <v>10</v>
      </c>
      <c r="I17" s="64"/>
      <c r="J17" s="64"/>
      <c r="K17" s="64" t="s">
        <v>12</v>
      </c>
      <c r="L17" s="64"/>
      <c r="M17" s="64"/>
      <c r="N17" s="64" t="s">
        <v>334</v>
      </c>
      <c r="O17" s="64"/>
      <c r="P17" s="64"/>
      <c r="AF17" s="8" t="s">
        <v>331</v>
      </c>
      <c r="AG17" t="s">
        <v>62</v>
      </c>
      <c r="AT17" s="8" t="s">
        <v>331</v>
      </c>
      <c r="AU17" t="s">
        <v>227</v>
      </c>
    </row>
    <row r="18" spans="1:58">
      <c r="A18" s="64"/>
      <c r="B18" s="13" t="s">
        <v>3</v>
      </c>
      <c r="C18" s="13" t="s">
        <v>63</v>
      </c>
      <c r="D18" s="13" t="s">
        <v>337</v>
      </c>
      <c r="E18" s="13" t="s">
        <v>3</v>
      </c>
      <c r="F18" s="13" t="s">
        <v>63</v>
      </c>
      <c r="G18" s="13" t="s">
        <v>337</v>
      </c>
      <c r="H18" s="13" t="s">
        <v>3</v>
      </c>
      <c r="I18" s="13" t="s">
        <v>63</v>
      </c>
      <c r="J18" s="13" t="s">
        <v>337</v>
      </c>
      <c r="K18" s="13" t="s">
        <v>3</v>
      </c>
      <c r="L18" s="13" t="s">
        <v>63</v>
      </c>
      <c r="M18" s="13" t="s">
        <v>337</v>
      </c>
      <c r="N18" s="13" t="s">
        <v>3</v>
      </c>
      <c r="O18" s="13" t="s">
        <v>63</v>
      </c>
      <c r="P18" s="13" t="s">
        <v>337</v>
      </c>
      <c r="AF18" s="8" t="s">
        <v>335</v>
      </c>
      <c r="AG18" t="s">
        <v>356</v>
      </c>
      <c r="AT18" s="8" t="s">
        <v>335</v>
      </c>
      <c r="AU18" t="s">
        <v>356</v>
      </c>
    </row>
    <row r="19" spans="1:58">
      <c r="A19" s="14" t="s">
        <v>338</v>
      </c>
      <c r="B19" s="2">
        <f t="shared" ref="B19:B28" si="9">AN5</f>
        <v>3</v>
      </c>
      <c r="C19" s="2">
        <f t="shared" ref="C19:C28" si="10">AN21</f>
        <v>3</v>
      </c>
      <c r="D19" s="10">
        <f t="shared" ref="D19:D28" si="11">SUM(B19:C19)</f>
        <v>6</v>
      </c>
      <c r="E19" s="2">
        <f t="shared" ref="E19:E28" si="12">AO5</f>
        <v>1</v>
      </c>
      <c r="F19" s="2">
        <f t="shared" ref="F19:F28" si="13">AO21</f>
        <v>2</v>
      </c>
      <c r="G19" s="10">
        <f t="shared" ref="G19:G28" si="14">SUM(E19:F19)</f>
        <v>3</v>
      </c>
      <c r="H19" s="2">
        <f t="shared" ref="H19:H28" si="15">AP5</f>
        <v>0</v>
      </c>
      <c r="I19" s="2">
        <f t="shared" ref="I19:I28" si="16">AP21</f>
        <v>1</v>
      </c>
      <c r="J19" s="10">
        <f t="shared" ref="J19" si="17">SUM(H19:I19)</f>
        <v>1</v>
      </c>
      <c r="K19" s="2">
        <f t="shared" ref="K19:K28" si="18">AQ5</f>
        <v>0</v>
      </c>
      <c r="L19" s="2">
        <f t="shared" ref="L19:L28" si="19">AQ21</f>
        <v>1</v>
      </c>
      <c r="M19" s="10">
        <f t="shared" ref="M19" si="20">SUM(K19:L19)</f>
        <v>1</v>
      </c>
      <c r="N19" s="2">
        <f t="shared" ref="N19:N28" si="21">AR5</f>
        <v>1</v>
      </c>
      <c r="O19" s="2">
        <f t="shared" ref="O19:O28" si="22">AR21</f>
        <v>2</v>
      </c>
      <c r="P19" s="10">
        <f t="shared" ref="P19" si="23">SUM(N19:O19)</f>
        <v>3</v>
      </c>
    </row>
    <row r="20" spans="1:58">
      <c r="A20" s="14" t="s">
        <v>345</v>
      </c>
      <c r="B20" s="2">
        <f t="shared" si="9"/>
        <v>3</v>
      </c>
      <c r="C20" s="2">
        <f t="shared" si="10"/>
        <v>1</v>
      </c>
      <c r="D20" s="10">
        <f t="shared" si="11"/>
        <v>4</v>
      </c>
      <c r="E20" s="2">
        <f t="shared" si="12"/>
        <v>1</v>
      </c>
      <c r="F20" s="2">
        <f t="shared" si="13"/>
        <v>2</v>
      </c>
      <c r="G20" s="10">
        <f t="shared" si="14"/>
        <v>3</v>
      </c>
      <c r="H20" s="2">
        <f t="shared" si="15"/>
        <v>0</v>
      </c>
      <c r="I20" s="2">
        <f t="shared" si="16"/>
        <v>1</v>
      </c>
      <c r="J20" s="10">
        <f t="shared" ref="J20:J28" si="24">SUM(H20:I20)</f>
        <v>1</v>
      </c>
      <c r="K20" s="2">
        <f t="shared" si="18"/>
        <v>0</v>
      </c>
      <c r="L20" s="2">
        <f t="shared" si="19"/>
        <v>1</v>
      </c>
      <c r="M20" s="10">
        <f t="shared" ref="M20:M28" si="25">SUM(K20:L20)</f>
        <v>1</v>
      </c>
      <c r="N20" s="2">
        <f t="shared" si="21"/>
        <v>1</v>
      </c>
      <c r="O20" s="2">
        <f t="shared" si="22"/>
        <v>2</v>
      </c>
      <c r="P20" s="10">
        <f t="shared" ref="P20:P28" si="26">SUM(N20:O20)</f>
        <v>3</v>
      </c>
      <c r="AF20" s="8" t="s">
        <v>339</v>
      </c>
      <c r="AG20" t="s">
        <v>340</v>
      </c>
      <c r="AH20" t="s">
        <v>341</v>
      </c>
      <c r="AI20" t="s">
        <v>342</v>
      </c>
      <c r="AJ20" t="s">
        <v>343</v>
      </c>
      <c r="AK20" t="s">
        <v>344</v>
      </c>
      <c r="AM20" t="s">
        <v>339</v>
      </c>
      <c r="AN20" t="s">
        <v>340</v>
      </c>
      <c r="AO20" t="s">
        <v>341</v>
      </c>
      <c r="AP20" t="s">
        <v>342</v>
      </c>
      <c r="AQ20" t="s">
        <v>343</v>
      </c>
      <c r="AR20" t="s">
        <v>344</v>
      </c>
      <c r="AT20" s="8" t="s">
        <v>339</v>
      </c>
      <c r="AU20" t="s">
        <v>340</v>
      </c>
      <c r="AV20" t="s">
        <v>341</v>
      </c>
      <c r="AW20" t="s">
        <v>342</v>
      </c>
      <c r="AX20" t="s">
        <v>343</v>
      </c>
      <c r="AY20" t="s">
        <v>344</v>
      </c>
      <c r="BA20" t="s">
        <v>339</v>
      </c>
      <c r="BB20" t="s">
        <v>340</v>
      </c>
      <c r="BC20" t="s">
        <v>341</v>
      </c>
      <c r="BD20" t="s">
        <v>342</v>
      </c>
      <c r="BE20" t="s">
        <v>343</v>
      </c>
      <c r="BF20" t="s">
        <v>344</v>
      </c>
    </row>
    <row r="21" spans="1:58">
      <c r="A21" s="14" t="s">
        <v>347</v>
      </c>
      <c r="B21" s="2">
        <f t="shared" si="9"/>
        <v>3</v>
      </c>
      <c r="C21" s="2">
        <f t="shared" si="10"/>
        <v>3</v>
      </c>
      <c r="D21" s="10">
        <f t="shared" si="11"/>
        <v>6</v>
      </c>
      <c r="E21" s="2">
        <f t="shared" si="12"/>
        <v>1</v>
      </c>
      <c r="F21" s="2">
        <f t="shared" si="13"/>
        <v>2</v>
      </c>
      <c r="G21" s="10">
        <f t="shared" si="14"/>
        <v>3</v>
      </c>
      <c r="H21" s="2">
        <f t="shared" si="15"/>
        <v>0</v>
      </c>
      <c r="I21" s="2">
        <f t="shared" si="16"/>
        <v>1</v>
      </c>
      <c r="J21" s="10">
        <f t="shared" si="24"/>
        <v>1</v>
      </c>
      <c r="K21" s="2">
        <f t="shared" si="18"/>
        <v>0</v>
      </c>
      <c r="L21" s="2">
        <f t="shared" si="19"/>
        <v>3</v>
      </c>
      <c r="M21" s="10">
        <f t="shared" si="25"/>
        <v>3</v>
      </c>
      <c r="N21" s="2">
        <f t="shared" si="21"/>
        <v>1</v>
      </c>
      <c r="O21" s="2">
        <f t="shared" si="22"/>
        <v>3</v>
      </c>
      <c r="P21" s="10">
        <f t="shared" si="26"/>
        <v>4</v>
      </c>
      <c r="AF21" s="9" t="s">
        <v>338</v>
      </c>
      <c r="AG21">
        <v>3</v>
      </c>
      <c r="AH21">
        <v>2</v>
      </c>
      <c r="AI21">
        <v>1</v>
      </c>
      <c r="AJ21">
        <v>1</v>
      </c>
      <c r="AK21">
        <v>2</v>
      </c>
      <c r="AM21" t="s">
        <v>338</v>
      </c>
      <c r="AN21">
        <v>3</v>
      </c>
      <c r="AO21">
        <v>2</v>
      </c>
      <c r="AP21">
        <v>1</v>
      </c>
      <c r="AQ21">
        <v>1</v>
      </c>
      <c r="AR21">
        <v>2</v>
      </c>
      <c r="AT21" s="9" t="s">
        <v>338</v>
      </c>
      <c r="AU21">
        <v>2</v>
      </c>
      <c r="AV21">
        <v>2</v>
      </c>
      <c r="AW21">
        <v>1</v>
      </c>
      <c r="AX21">
        <v>1</v>
      </c>
      <c r="AY21">
        <v>2</v>
      </c>
      <c r="BA21" t="s">
        <v>338</v>
      </c>
      <c r="BB21">
        <v>2</v>
      </c>
      <c r="BC21">
        <v>2</v>
      </c>
      <c r="BD21">
        <v>1</v>
      </c>
      <c r="BE21">
        <v>1</v>
      </c>
      <c r="BF21">
        <v>2</v>
      </c>
    </row>
    <row r="22" spans="1:58">
      <c r="A22" s="14" t="s">
        <v>349</v>
      </c>
      <c r="B22" s="2">
        <f t="shared" si="9"/>
        <v>3</v>
      </c>
      <c r="C22" s="2">
        <f t="shared" si="10"/>
        <v>2</v>
      </c>
      <c r="D22" s="10">
        <f t="shared" si="11"/>
        <v>5</v>
      </c>
      <c r="E22" s="2">
        <f t="shared" si="12"/>
        <v>1</v>
      </c>
      <c r="F22" s="2">
        <f t="shared" si="13"/>
        <v>1</v>
      </c>
      <c r="G22" s="10">
        <f t="shared" si="14"/>
        <v>2</v>
      </c>
      <c r="H22" s="2">
        <f t="shared" si="15"/>
        <v>0</v>
      </c>
      <c r="I22" s="2">
        <f t="shared" si="16"/>
        <v>3</v>
      </c>
      <c r="J22" s="10">
        <f t="shared" si="24"/>
        <v>3</v>
      </c>
      <c r="K22" s="2">
        <f t="shared" si="18"/>
        <v>0</v>
      </c>
      <c r="L22" s="2">
        <f t="shared" si="19"/>
        <v>3</v>
      </c>
      <c r="M22" s="10">
        <f t="shared" si="25"/>
        <v>3</v>
      </c>
      <c r="N22" s="2">
        <f t="shared" si="21"/>
        <v>1</v>
      </c>
      <c r="O22" s="2">
        <f t="shared" si="22"/>
        <v>0</v>
      </c>
      <c r="P22" s="10">
        <f t="shared" si="26"/>
        <v>1</v>
      </c>
      <c r="AF22" s="9" t="s">
        <v>345</v>
      </c>
      <c r="AG22">
        <v>1</v>
      </c>
      <c r="AH22">
        <v>2</v>
      </c>
      <c r="AI22">
        <v>1</v>
      </c>
      <c r="AJ22">
        <v>1</v>
      </c>
      <c r="AK22">
        <v>2</v>
      </c>
      <c r="AM22" t="s">
        <v>345</v>
      </c>
      <c r="AN22">
        <v>1</v>
      </c>
      <c r="AO22">
        <v>2</v>
      </c>
      <c r="AP22">
        <v>1</v>
      </c>
      <c r="AQ22">
        <v>1</v>
      </c>
      <c r="AR22">
        <v>2</v>
      </c>
      <c r="AT22" s="9" t="s">
        <v>345</v>
      </c>
      <c r="AU22">
        <v>3</v>
      </c>
      <c r="AW22">
        <v>1</v>
      </c>
      <c r="AY22">
        <v>3</v>
      </c>
      <c r="BA22" t="s">
        <v>345</v>
      </c>
      <c r="BB22">
        <v>3</v>
      </c>
      <c r="BD22">
        <v>1</v>
      </c>
      <c r="BF22">
        <v>3</v>
      </c>
    </row>
    <row r="23" spans="1:58">
      <c r="A23" s="14" t="s">
        <v>350</v>
      </c>
      <c r="B23" s="2">
        <f t="shared" si="9"/>
        <v>3</v>
      </c>
      <c r="C23" s="2">
        <f t="shared" si="10"/>
        <v>3</v>
      </c>
      <c r="D23" s="10">
        <f t="shared" si="11"/>
        <v>6</v>
      </c>
      <c r="E23" s="2">
        <f t="shared" si="12"/>
        <v>1</v>
      </c>
      <c r="F23" s="2">
        <f t="shared" si="13"/>
        <v>3</v>
      </c>
      <c r="G23" s="10">
        <f t="shared" si="14"/>
        <v>4</v>
      </c>
      <c r="H23" s="2">
        <f t="shared" si="15"/>
        <v>0</v>
      </c>
      <c r="I23" s="2">
        <f t="shared" si="16"/>
        <v>0</v>
      </c>
      <c r="J23" s="10">
        <f t="shared" si="24"/>
        <v>0</v>
      </c>
      <c r="K23" s="2">
        <f t="shared" si="18"/>
        <v>0</v>
      </c>
      <c r="L23" s="2">
        <f t="shared" si="19"/>
        <v>0</v>
      </c>
      <c r="M23" s="10">
        <f t="shared" si="25"/>
        <v>0</v>
      </c>
      <c r="N23" s="2">
        <f t="shared" si="21"/>
        <v>1</v>
      </c>
      <c r="O23" s="2">
        <f t="shared" si="22"/>
        <v>1</v>
      </c>
      <c r="P23" s="10">
        <f t="shared" si="26"/>
        <v>2</v>
      </c>
      <c r="AF23" s="9" t="s">
        <v>347</v>
      </c>
      <c r="AG23">
        <v>3</v>
      </c>
      <c r="AH23">
        <v>2</v>
      </c>
      <c r="AI23">
        <v>1</v>
      </c>
      <c r="AJ23">
        <v>3</v>
      </c>
      <c r="AK23">
        <v>3</v>
      </c>
      <c r="AM23" t="s">
        <v>347</v>
      </c>
      <c r="AN23">
        <v>3</v>
      </c>
      <c r="AO23">
        <v>2</v>
      </c>
      <c r="AP23">
        <v>1</v>
      </c>
      <c r="AQ23">
        <v>3</v>
      </c>
      <c r="AR23">
        <v>3</v>
      </c>
      <c r="AT23" s="9" t="s">
        <v>347</v>
      </c>
      <c r="AU23">
        <v>3</v>
      </c>
      <c r="AW23">
        <v>1</v>
      </c>
      <c r="AX23">
        <v>2</v>
      </c>
      <c r="AY23">
        <v>4</v>
      </c>
      <c r="BA23" t="s">
        <v>347</v>
      </c>
      <c r="BB23">
        <v>3</v>
      </c>
      <c r="BD23">
        <v>1</v>
      </c>
      <c r="BE23">
        <v>2</v>
      </c>
      <c r="BF23">
        <v>4</v>
      </c>
    </row>
    <row r="24" spans="1:58">
      <c r="A24" s="14" t="s">
        <v>351</v>
      </c>
      <c r="B24" s="2">
        <f t="shared" si="9"/>
        <v>3</v>
      </c>
      <c r="C24" s="2">
        <f t="shared" si="10"/>
        <v>2</v>
      </c>
      <c r="D24" s="10">
        <f t="shared" si="11"/>
        <v>5</v>
      </c>
      <c r="E24" s="2">
        <f t="shared" si="12"/>
        <v>1</v>
      </c>
      <c r="F24" s="2">
        <f t="shared" si="13"/>
        <v>2</v>
      </c>
      <c r="G24" s="10">
        <f t="shared" si="14"/>
        <v>3</v>
      </c>
      <c r="H24" s="2">
        <f t="shared" si="15"/>
        <v>0</v>
      </c>
      <c r="I24" s="2">
        <f t="shared" si="16"/>
        <v>1</v>
      </c>
      <c r="J24" s="10">
        <f t="shared" si="24"/>
        <v>1</v>
      </c>
      <c r="K24" s="2">
        <f t="shared" si="18"/>
        <v>0</v>
      </c>
      <c r="L24" s="2">
        <f t="shared" si="19"/>
        <v>1</v>
      </c>
      <c r="M24" s="10">
        <f t="shared" si="25"/>
        <v>1</v>
      </c>
      <c r="N24" s="2">
        <f t="shared" si="21"/>
        <v>1</v>
      </c>
      <c r="O24" s="2">
        <f t="shared" si="22"/>
        <v>4</v>
      </c>
      <c r="P24" s="10">
        <f t="shared" si="26"/>
        <v>5</v>
      </c>
      <c r="AF24" s="9" t="s">
        <v>349</v>
      </c>
      <c r="AG24">
        <v>2</v>
      </c>
      <c r="AH24">
        <v>1</v>
      </c>
      <c r="AI24">
        <v>3</v>
      </c>
      <c r="AJ24">
        <v>3</v>
      </c>
      <c r="AM24" t="s">
        <v>349</v>
      </c>
      <c r="AN24">
        <v>2</v>
      </c>
      <c r="AO24">
        <v>1</v>
      </c>
      <c r="AP24">
        <v>3</v>
      </c>
      <c r="AQ24">
        <v>3</v>
      </c>
      <c r="AT24" s="9" t="s">
        <v>349</v>
      </c>
      <c r="AU24">
        <v>2</v>
      </c>
      <c r="AV24">
        <v>3</v>
      </c>
      <c r="AW24">
        <v>1</v>
      </c>
      <c r="AX24">
        <v>1</v>
      </c>
      <c r="AY24">
        <v>1</v>
      </c>
      <c r="BA24" t="s">
        <v>349</v>
      </c>
      <c r="BB24">
        <v>2</v>
      </c>
      <c r="BC24">
        <v>3</v>
      </c>
      <c r="BD24">
        <v>1</v>
      </c>
      <c r="BE24">
        <v>1</v>
      </c>
      <c r="BF24">
        <v>1</v>
      </c>
    </row>
    <row r="25" spans="1:58">
      <c r="A25" s="14" t="s">
        <v>352</v>
      </c>
      <c r="B25" s="2">
        <f t="shared" si="9"/>
        <v>3</v>
      </c>
      <c r="C25" s="2">
        <f t="shared" si="10"/>
        <v>2</v>
      </c>
      <c r="D25" s="10">
        <f t="shared" si="11"/>
        <v>5</v>
      </c>
      <c r="E25" s="2">
        <f t="shared" si="12"/>
        <v>1</v>
      </c>
      <c r="F25" s="2">
        <f t="shared" si="13"/>
        <v>2</v>
      </c>
      <c r="G25" s="10">
        <f t="shared" si="14"/>
        <v>3</v>
      </c>
      <c r="H25" s="2">
        <f t="shared" si="15"/>
        <v>0</v>
      </c>
      <c r="I25" s="2">
        <f t="shared" si="16"/>
        <v>1</v>
      </c>
      <c r="J25" s="10">
        <f t="shared" si="24"/>
        <v>1</v>
      </c>
      <c r="K25" s="2">
        <f t="shared" si="18"/>
        <v>0</v>
      </c>
      <c r="L25" s="2">
        <f t="shared" si="19"/>
        <v>1</v>
      </c>
      <c r="M25" s="10">
        <f t="shared" si="25"/>
        <v>1</v>
      </c>
      <c r="N25" s="2">
        <f t="shared" si="21"/>
        <v>1</v>
      </c>
      <c r="O25" s="2">
        <f t="shared" si="22"/>
        <v>3</v>
      </c>
      <c r="P25" s="10">
        <f t="shared" si="26"/>
        <v>4</v>
      </c>
      <c r="AF25" s="9" t="s">
        <v>350</v>
      </c>
      <c r="AG25">
        <v>3</v>
      </c>
      <c r="AH25">
        <v>3</v>
      </c>
      <c r="AK25">
        <v>1</v>
      </c>
      <c r="AM25" t="s">
        <v>350</v>
      </c>
      <c r="AN25">
        <v>3</v>
      </c>
      <c r="AO25">
        <v>3</v>
      </c>
      <c r="AR25">
        <v>1</v>
      </c>
      <c r="AT25" s="9" t="s">
        <v>350</v>
      </c>
      <c r="AV25">
        <v>3</v>
      </c>
      <c r="AW25">
        <v>1</v>
      </c>
      <c r="AY25">
        <v>2</v>
      </c>
      <c r="BA25" t="s">
        <v>350</v>
      </c>
      <c r="BC25">
        <v>3</v>
      </c>
      <c r="BD25">
        <v>1</v>
      </c>
      <c r="BF25">
        <v>2</v>
      </c>
    </row>
    <row r="26" spans="1:58">
      <c r="A26" s="14" t="s">
        <v>353</v>
      </c>
      <c r="B26" s="2">
        <f t="shared" si="9"/>
        <v>3</v>
      </c>
      <c r="C26" s="2">
        <f t="shared" si="10"/>
        <v>0</v>
      </c>
      <c r="D26" s="10">
        <f t="shared" si="11"/>
        <v>3</v>
      </c>
      <c r="E26" s="2">
        <f t="shared" si="12"/>
        <v>1</v>
      </c>
      <c r="F26" s="2">
        <f t="shared" si="13"/>
        <v>2</v>
      </c>
      <c r="G26" s="10">
        <f t="shared" si="14"/>
        <v>3</v>
      </c>
      <c r="H26" s="2">
        <f t="shared" si="15"/>
        <v>0</v>
      </c>
      <c r="I26" s="2">
        <f t="shared" si="16"/>
        <v>0</v>
      </c>
      <c r="J26" s="10">
        <f t="shared" si="24"/>
        <v>0</v>
      </c>
      <c r="K26" s="2">
        <f t="shared" si="18"/>
        <v>0</v>
      </c>
      <c r="L26" s="2">
        <f t="shared" si="19"/>
        <v>2</v>
      </c>
      <c r="M26" s="10">
        <f t="shared" si="25"/>
        <v>2</v>
      </c>
      <c r="N26" s="2">
        <f t="shared" si="21"/>
        <v>1</v>
      </c>
      <c r="O26" s="2">
        <f t="shared" si="22"/>
        <v>4</v>
      </c>
      <c r="P26" s="10">
        <f t="shared" si="26"/>
        <v>5</v>
      </c>
      <c r="AF26" s="9" t="s">
        <v>351</v>
      </c>
      <c r="AG26">
        <v>2</v>
      </c>
      <c r="AH26">
        <v>2</v>
      </c>
      <c r="AI26">
        <v>1</v>
      </c>
      <c r="AJ26">
        <v>1</v>
      </c>
      <c r="AK26">
        <v>4</v>
      </c>
      <c r="AM26" t="s">
        <v>351</v>
      </c>
      <c r="AN26">
        <v>2</v>
      </c>
      <c r="AO26">
        <v>2</v>
      </c>
      <c r="AP26">
        <v>1</v>
      </c>
      <c r="AQ26">
        <v>1</v>
      </c>
      <c r="AR26">
        <v>4</v>
      </c>
      <c r="AT26" s="9" t="s">
        <v>351</v>
      </c>
      <c r="AU26">
        <v>1</v>
      </c>
      <c r="AV26">
        <v>1</v>
      </c>
      <c r="AX26">
        <v>3</v>
      </c>
      <c r="AY26">
        <v>4</v>
      </c>
      <c r="BA26" t="s">
        <v>351</v>
      </c>
      <c r="BB26">
        <v>1</v>
      </c>
      <c r="BC26">
        <v>1</v>
      </c>
      <c r="BE26">
        <v>3</v>
      </c>
      <c r="BF26">
        <v>4</v>
      </c>
    </row>
    <row r="27" spans="1:58">
      <c r="A27" s="14" t="s">
        <v>354</v>
      </c>
      <c r="B27" s="2">
        <f t="shared" si="9"/>
        <v>3</v>
      </c>
      <c r="C27" s="2">
        <f t="shared" si="10"/>
        <v>0</v>
      </c>
      <c r="D27" s="10">
        <f t="shared" si="11"/>
        <v>3</v>
      </c>
      <c r="E27" s="2">
        <f t="shared" si="12"/>
        <v>1</v>
      </c>
      <c r="F27" s="2">
        <f t="shared" si="13"/>
        <v>3</v>
      </c>
      <c r="G27" s="10">
        <f>SUM(E27:F27)</f>
        <v>4</v>
      </c>
      <c r="H27" s="2">
        <f t="shared" si="15"/>
        <v>0</v>
      </c>
      <c r="I27" s="2">
        <f t="shared" si="16"/>
        <v>1</v>
      </c>
      <c r="J27" s="10">
        <f t="shared" si="24"/>
        <v>1</v>
      </c>
      <c r="K27" s="2">
        <f t="shared" si="18"/>
        <v>0</v>
      </c>
      <c r="L27" s="2">
        <f t="shared" si="19"/>
        <v>0</v>
      </c>
      <c r="M27" s="10">
        <f t="shared" si="25"/>
        <v>0</v>
      </c>
      <c r="N27" s="2">
        <f t="shared" si="21"/>
        <v>1</v>
      </c>
      <c r="O27" s="2">
        <f t="shared" si="22"/>
        <v>3</v>
      </c>
      <c r="P27" s="10">
        <f t="shared" si="26"/>
        <v>4</v>
      </c>
      <c r="AF27" s="9" t="s">
        <v>352</v>
      </c>
      <c r="AG27">
        <v>2</v>
      </c>
      <c r="AH27">
        <v>2</v>
      </c>
      <c r="AI27">
        <v>1</v>
      </c>
      <c r="AJ27">
        <v>1</v>
      </c>
      <c r="AK27">
        <v>3</v>
      </c>
      <c r="AM27" t="s">
        <v>352</v>
      </c>
      <c r="AN27">
        <v>2</v>
      </c>
      <c r="AO27">
        <v>2</v>
      </c>
      <c r="AP27">
        <v>1</v>
      </c>
      <c r="AQ27">
        <v>1</v>
      </c>
      <c r="AR27">
        <v>3</v>
      </c>
      <c r="AT27" s="9" t="s">
        <v>352</v>
      </c>
      <c r="AU27">
        <v>3</v>
      </c>
      <c r="AV27">
        <v>1</v>
      </c>
      <c r="AY27">
        <v>4</v>
      </c>
      <c r="BA27" t="s">
        <v>352</v>
      </c>
      <c r="BB27">
        <v>3</v>
      </c>
      <c r="BC27">
        <v>1</v>
      </c>
      <c r="BF27">
        <v>4</v>
      </c>
    </row>
    <row r="28" spans="1:58">
      <c r="A28" s="14" t="s">
        <v>355</v>
      </c>
      <c r="B28" s="2">
        <f t="shared" si="9"/>
        <v>3</v>
      </c>
      <c r="C28" s="2">
        <f t="shared" si="10"/>
        <v>2</v>
      </c>
      <c r="D28" s="10">
        <f t="shared" si="11"/>
        <v>5</v>
      </c>
      <c r="E28" s="2">
        <f t="shared" si="12"/>
        <v>1</v>
      </c>
      <c r="F28" s="2">
        <f t="shared" si="13"/>
        <v>1</v>
      </c>
      <c r="G28" s="10">
        <f t="shared" si="14"/>
        <v>2</v>
      </c>
      <c r="H28" s="2">
        <f t="shared" si="15"/>
        <v>0</v>
      </c>
      <c r="I28" s="2">
        <f t="shared" si="16"/>
        <v>1</v>
      </c>
      <c r="J28" s="10">
        <f t="shared" si="24"/>
        <v>1</v>
      </c>
      <c r="K28" s="2">
        <f t="shared" si="18"/>
        <v>0</v>
      </c>
      <c r="L28" s="2">
        <f t="shared" si="19"/>
        <v>2</v>
      </c>
      <c r="M28" s="10">
        <f t="shared" si="25"/>
        <v>2</v>
      </c>
      <c r="N28" s="2">
        <f t="shared" si="21"/>
        <v>1</v>
      </c>
      <c r="O28" s="2">
        <f t="shared" si="22"/>
        <v>2</v>
      </c>
      <c r="P28" s="10">
        <f t="shared" si="26"/>
        <v>3</v>
      </c>
      <c r="AF28" s="9" t="s">
        <v>353</v>
      </c>
      <c r="AH28">
        <v>2</v>
      </c>
      <c r="AJ28">
        <v>2</v>
      </c>
      <c r="AK28">
        <v>4</v>
      </c>
      <c r="AM28" t="s">
        <v>353</v>
      </c>
      <c r="AO28">
        <v>2</v>
      </c>
      <c r="AQ28">
        <v>2</v>
      </c>
      <c r="AR28">
        <v>4</v>
      </c>
      <c r="AT28" s="9" t="s">
        <v>353</v>
      </c>
      <c r="AW28">
        <v>2</v>
      </c>
      <c r="AX28">
        <v>1</v>
      </c>
      <c r="AY28">
        <v>4</v>
      </c>
      <c r="BA28" t="s">
        <v>353</v>
      </c>
      <c r="BD28">
        <v>2</v>
      </c>
      <c r="BE28">
        <v>1</v>
      </c>
      <c r="BF28">
        <v>4</v>
      </c>
    </row>
    <row r="29" spans="1:58">
      <c r="A29" s="13" t="s">
        <v>337</v>
      </c>
      <c r="B29" s="10"/>
      <c r="C29" s="10"/>
      <c r="D29" s="10">
        <f>SUM(D19:D28)</f>
        <v>48</v>
      </c>
      <c r="E29" s="10"/>
      <c r="F29" s="10"/>
      <c r="G29" s="10">
        <f>SUM(G19:G28)</f>
        <v>30</v>
      </c>
      <c r="H29" s="10"/>
      <c r="I29" s="10"/>
      <c r="J29" s="10">
        <f>SUM(J19:J28)</f>
        <v>10</v>
      </c>
      <c r="K29" s="10"/>
      <c r="L29" s="10"/>
      <c r="M29" s="10">
        <f>SUM(M19:M28)</f>
        <v>14</v>
      </c>
      <c r="N29" s="10"/>
      <c r="O29" s="10"/>
      <c r="P29" s="10">
        <f>SUM(P19:P28)</f>
        <v>34</v>
      </c>
      <c r="AF29" s="9" t="s">
        <v>354</v>
      </c>
      <c r="AH29">
        <v>3</v>
      </c>
      <c r="AI29">
        <v>1</v>
      </c>
      <c r="AK29">
        <v>3</v>
      </c>
      <c r="AM29" t="s">
        <v>354</v>
      </c>
      <c r="AO29">
        <v>3</v>
      </c>
      <c r="AP29">
        <v>1</v>
      </c>
      <c r="AR29">
        <v>3</v>
      </c>
      <c r="AT29" s="9" t="s">
        <v>354</v>
      </c>
      <c r="AV29">
        <v>2</v>
      </c>
      <c r="AY29">
        <v>2</v>
      </c>
      <c r="BA29" t="s">
        <v>354</v>
      </c>
      <c r="BC29">
        <v>2</v>
      </c>
      <c r="BF29">
        <v>2</v>
      </c>
    </row>
    <row r="30" spans="1:58">
      <c r="AF30" s="9" t="s">
        <v>355</v>
      </c>
      <c r="AG30">
        <v>2</v>
      </c>
      <c r="AH30">
        <v>1</v>
      </c>
      <c r="AI30">
        <v>1</v>
      </c>
      <c r="AJ30">
        <v>2</v>
      </c>
      <c r="AK30">
        <v>2</v>
      </c>
      <c r="AM30" t="s">
        <v>355</v>
      </c>
      <c r="AN30">
        <v>2</v>
      </c>
      <c r="AO30">
        <v>1</v>
      </c>
      <c r="AP30">
        <v>1</v>
      </c>
      <c r="AQ30">
        <v>2</v>
      </c>
      <c r="AR30">
        <v>2</v>
      </c>
      <c r="AT30" s="9" t="s">
        <v>355</v>
      </c>
      <c r="AU30">
        <v>4</v>
      </c>
      <c r="AV30">
        <v>3</v>
      </c>
      <c r="AW30">
        <v>1</v>
      </c>
      <c r="AX30">
        <v>2</v>
      </c>
      <c r="AY30">
        <v>3</v>
      </c>
      <c r="BA30" t="s">
        <v>355</v>
      </c>
      <c r="BB30">
        <v>4</v>
      </c>
      <c r="BC30">
        <v>3</v>
      </c>
      <c r="BD30">
        <v>1</v>
      </c>
      <c r="BE30">
        <v>2</v>
      </c>
      <c r="BF30">
        <v>3</v>
      </c>
    </row>
    <row r="31" spans="1:58">
      <c r="A31" s="12" t="s">
        <v>201</v>
      </c>
      <c r="AF31" s="9" t="s">
        <v>348</v>
      </c>
      <c r="AG31">
        <v>18</v>
      </c>
      <c r="AH31">
        <v>20</v>
      </c>
      <c r="AI31">
        <v>10</v>
      </c>
      <c r="AJ31">
        <v>14</v>
      </c>
      <c r="AK31">
        <v>24</v>
      </c>
      <c r="AM31" t="s">
        <v>348</v>
      </c>
      <c r="AN31">
        <v>19</v>
      </c>
      <c r="AO31">
        <v>20</v>
      </c>
      <c r="AP31">
        <v>10</v>
      </c>
      <c r="AQ31">
        <v>14</v>
      </c>
      <c r="AR31">
        <v>24</v>
      </c>
      <c r="AT31" s="9" t="s">
        <v>348</v>
      </c>
      <c r="AU31">
        <v>18</v>
      </c>
      <c r="AV31">
        <v>15</v>
      </c>
      <c r="AW31">
        <v>8</v>
      </c>
      <c r="AX31">
        <v>10</v>
      </c>
      <c r="AY31">
        <v>29</v>
      </c>
      <c r="BA31" t="s">
        <v>348</v>
      </c>
      <c r="BB31">
        <v>18</v>
      </c>
      <c r="BC31">
        <v>15</v>
      </c>
      <c r="BD31">
        <v>8</v>
      </c>
      <c r="BE31">
        <v>10</v>
      </c>
      <c r="BF31">
        <v>29</v>
      </c>
    </row>
    <row r="32" spans="1:58">
      <c r="A32" s="15"/>
      <c r="B32" s="65" t="s">
        <v>333</v>
      </c>
      <c r="C32" s="66"/>
      <c r="D32" s="67"/>
      <c r="E32" s="65" t="s">
        <v>8</v>
      </c>
      <c r="F32" s="66"/>
      <c r="G32" s="67"/>
      <c r="H32" s="65" t="s">
        <v>10</v>
      </c>
      <c r="I32" s="66"/>
      <c r="J32" s="67"/>
      <c r="K32" s="65" t="s">
        <v>12</v>
      </c>
      <c r="L32" s="66"/>
      <c r="M32" s="67"/>
      <c r="N32" s="65" t="s">
        <v>334</v>
      </c>
      <c r="O32" s="66"/>
      <c r="P32" s="67"/>
    </row>
    <row r="33" spans="1:16">
      <c r="A33" s="16"/>
      <c r="B33" s="13" t="s">
        <v>3</v>
      </c>
      <c r="C33" s="13" t="s">
        <v>63</v>
      </c>
      <c r="D33" s="13" t="s">
        <v>337</v>
      </c>
      <c r="E33" s="13" t="s">
        <v>3</v>
      </c>
      <c r="F33" s="13" t="s">
        <v>63</v>
      </c>
      <c r="G33" s="13" t="s">
        <v>337</v>
      </c>
      <c r="H33" s="13" t="s">
        <v>3</v>
      </c>
      <c r="I33" s="13" t="s">
        <v>63</v>
      </c>
      <c r="J33" s="13" t="s">
        <v>337</v>
      </c>
      <c r="K33" s="13" t="s">
        <v>3</v>
      </c>
      <c r="L33" s="13" t="s">
        <v>63</v>
      </c>
      <c r="M33" s="13" t="s">
        <v>337</v>
      </c>
      <c r="N33" s="13" t="s">
        <v>3</v>
      </c>
      <c r="O33" s="13" t="s">
        <v>63</v>
      </c>
      <c r="P33" s="13" t="s">
        <v>337</v>
      </c>
    </row>
    <row r="34" spans="1:16">
      <c r="A34" s="14" t="s">
        <v>338</v>
      </c>
      <c r="B34" s="2">
        <f t="shared" ref="B34:B43" si="27">BB5</f>
        <v>2</v>
      </c>
      <c r="C34" s="2">
        <f t="shared" ref="C34:C43" si="28">BB21</f>
        <v>2</v>
      </c>
      <c r="D34" s="10">
        <f t="shared" ref="D34" si="29">SUM(B34:C34)</f>
        <v>4</v>
      </c>
      <c r="E34" s="2">
        <f t="shared" ref="E34:E43" si="30">BC5</f>
        <v>1</v>
      </c>
      <c r="F34" s="2">
        <f t="shared" ref="F34:F43" si="31">BC21</f>
        <v>2</v>
      </c>
      <c r="G34" s="10">
        <f t="shared" ref="G34" si="32">SUM(E34:F34)</f>
        <v>3</v>
      </c>
      <c r="H34" s="2">
        <f t="shared" ref="H34:H43" si="33">BD5</f>
        <v>1</v>
      </c>
      <c r="I34" s="2">
        <f t="shared" ref="I34:I43" si="34">BD21</f>
        <v>1</v>
      </c>
      <c r="J34" s="10">
        <f t="shared" ref="J34" si="35">SUM(H34:I34)</f>
        <v>2</v>
      </c>
      <c r="K34" s="2">
        <f t="shared" ref="K34:K43" si="36">BE5</f>
        <v>1</v>
      </c>
      <c r="L34" s="2">
        <f t="shared" ref="L34:L43" si="37">BE21</f>
        <v>1</v>
      </c>
      <c r="M34" s="10">
        <f t="shared" ref="M34" si="38">SUM(K34:L34)</f>
        <v>2</v>
      </c>
      <c r="N34" s="2">
        <f t="shared" ref="N34:N43" si="39">BF5</f>
        <v>3</v>
      </c>
      <c r="O34" s="2">
        <f t="shared" ref="O34:O43" si="40">BF21</f>
        <v>2</v>
      </c>
      <c r="P34" s="10">
        <f t="shared" ref="P34" si="41">SUM(N34:O34)</f>
        <v>5</v>
      </c>
    </row>
    <row r="35" spans="1:16">
      <c r="A35" s="14" t="s">
        <v>345</v>
      </c>
      <c r="B35" s="2">
        <f t="shared" si="27"/>
        <v>2</v>
      </c>
      <c r="C35" s="2">
        <f t="shared" si="28"/>
        <v>3</v>
      </c>
      <c r="D35" s="10">
        <f t="shared" ref="D35:D43" si="42">SUM(B35:C35)</f>
        <v>5</v>
      </c>
      <c r="E35" s="2">
        <f t="shared" si="30"/>
        <v>1</v>
      </c>
      <c r="F35" s="2">
        <f t="shared" si="31"/>
        <v>0</v>
      </c>
      <c r="G35" s="10">
        <f t="shared" ref="G35:G43" si="43">SUM(E35:F35)</f>
        <v>1</v>
      </c>
      <c r="H35" s="2">
        <f t="shared" si="33"/>
        <v>1</v>
      </c>
      <c r="I35" s="2">
        <f t="shared" si="34"/>
        <v>1</v>
      </c>
      <c r="J35" s="10">
        <f t="shared" ref="J35:J43" si="44">SUM(H35:I35)</f>
        <v>2</v>
      </c>
      <c r="K35" s="2">
        <f t="shared" si="36"/>
        <v>1</v>
      </c>
      <c r="L35" s="2">
        <f t="shared" si="37"/>
        <v>0</v>
      </c>
      <c r="M35" s="10">
        <f t="shared" ref="M35:M43" si="45">SUM(K35:L35)</f>
        <v>1</v>
      </c>
      <c r="N35" s="2">
        <f t="shared" si="39"/>
        <v>3</v>
      </c>
      <c r="O35" s="2">
        <f t="shared" si="40"/>
        <v>3</v>
      </c>
      <c r="P35" s="10">
        <f t="shared" ref="P35:P43" si="46">SUM(N35:O35)</f>
        <v>6</v>
      </c>
    </row>
    <row r="36" spans="1:16">
      <c r="A36" s="14" t="s">
        <v>347</v>
      </c>
      <c r="B36" s="2">
        <f t="shared" si="27"/>
        <v>2</v>
      </c>
      <c r="C36" s="2">
        <f t="shared" si="28"/>
        <v>3</v>
      </c>
      <c r="D36" s="10">
        <f t="shared" si="42"/>
        <v>5</v>
      </c>
      <c r="E36" s="2">
        <f t="shared" si="30"/>
        <v>1</v>
      </c>
      <c r="F36" s="2">
        <f t="shared" si="31"/>
        <v>0</v>
      </c>
      <c r="G36" s="10">
        <f t="shared" si="43"/>
        <v>1</v>
      </c>
      <c r="H36" s="2">
        <f t="shared" si="33"/>
        <v>1</v>
      </c>
      <c r="I36" s="2">
        <f t="shared" si="34"/>
        <v>1</v>
      </c>
      <c r="J36" s="10">
        <f t="shared" si="44"/>
        <v>2</v>
      </c>
      <c r="K36" s="2">
        <f t="shared" si="36"/>
        <v>1</v>
      </c>
      <c r="L36" s="2">
        <f t="shared" si="37"/>
        <v>2</v>
      </c>
      <c r="M36" s="10">
        <f t="shared" si="45"/>
        <v>3</v>
      </c>
      <c r="N36" s="2">
        <f t="shared" si="39"/>
        <v>3</v>
      </c>
      <c r="O36" s="2">
        <f t="shared" si="40"/>
        <v>4</v>
      </c>
      <c r="P36" s="10">
        <f t="shared" si="46"/>
        <v>7</v>
      </c>
    </row>
    <row r="37" spans="1:16">
      <c r="A37" s="14" t="s">
        <v>349</v>
      </c>
      <c r="B37" s="2">
        <f t="shared" si="27"/>
        <v>2</v>
      </c>
      <c r="C37" s="2">
        <f t="shared" si="28"/>
        <v>2</v>
      </c>
      <c r="D37" s="10">
        <f t="shared" si="42"/>
        <v>4</v>
      </c>
      <c r="E37" s="2">
        <f t="shared" si="30"/>
        <v>1</v>
      </c>
      <c r="F37" s="2">
        <f t="shared" si="31"/>
        <v>3</v>
      </c>
      <c r="G37" s="10">
        <f t="shared" si="43"/>
        <v>4</v>
      </c>
      <c r="H37" s="2">
        <f t="shared" si="33"/>
        <v>1</v>
      </c>
      <c r="I37" s="2">
        <f t="shared" si="34"/>
        <v>1</v>
      </c>
      <c r="J37" s="10">
        <f t="shared" si="44"/>
        <v>2</v>
      </c>
      <c r="K37" s="2">
        <f t="shared" si="36"/>
        <v>1</v>
      </c>
      <c r="L37" s="2">
        <f t="shared" si="37"/>
        <v>1</v>
      </c>
      <c r="M37" s="10">
        <f t="shared" si="45"/>
        <v>2</v>
      </c>
      <c r="N37" s="2">
        <f t="shared" si="39"/>
        <v>3</v>
      </c>
      <c r="O37" s="2">
        <f t="shared" si="40"/>
        <v>1</v>
      </c>
      <c r="P37" s="10">
        <f t="shared" si="46"/>
        <v>4</v>
      </c>
    </row>
    <row r="38" spans="1:16">
      <c r="A38" s="14" t="s">
        <v>350</v>
      </c>
      <c r="B38" s="2">
        <f t="shared" si="27"/>
        <v>2</v>
      </c>
      <c r="C38" s="2">
        <f t="shared" si="28"/>
        <v>0</v>
      </c>
      <c r="D38" s="10">
        <f t="shared" si="42"/>
        <v>2</v>
      </c>
      <c r="E38" s="2">
        <f t="shared" si="30"/>
        <v>1</v>
      </c>
      <c r="F38" s="2">
        <f t="shared" si="31"/>
        <v>3</v>
      </c>
      <c r="G38" s="10">
        <f t="shared" si="43"/>
        <v>4</v>
      </c>
      <c r="H38" s="2">
        <f t="shared" si="33"/>
        <v>1</v>
      </c>
      <c r="I38" s="2">
        <f t="shared" si="34"/>
        <v>1</v>
      </c>
      <c r="J38" s="10">
        <f t="shared" si="44"/>
        <v>2</v>
      </c>
      <c r="K38" s="2">
        <f t="shared" si="36"/>
        <v>1</v>
      </c>
      <c r="L38" s="2">
        <f t="shared" si="37"/>
        <v>0</v>
      </c>
      <c r="M38" s="10">
        <f t="shared" si="45"/>
        <v>1</v>
      </c>
      <c r="N38" s="2">
        <f t="shared" si="39"/>
        <v>3</v>
      </c>
      <c r="O38" s="2">
        <f t="shared" si="40"/>
        <v>2</v>
      </c>
      <c r="P38" s="10">
        <f t="shared" si="46"/>
        <v>5</v>
      </c>
    </row>
    <row r="39" spans="1:16">
      <c r="A39" s="14" t="s">
        <v>351</v>
      </c>
      <c r="B39" s="2">
        <f t="shared" si="27"/>
        <v>2</v>
      </c>
      <c r="C39" s="2">
        <f t="shared" si="28"/>
        <v>1</v>
      </c>
      <c r="D39" s="10">
        <f t="shared" si="42"/>
        <v>3</v>
      </c>
      <c r="E39" s="2">
        <f t="shared" si="30"/>
        <v>1</v>
      </c>
      <c r="F39" s="2">
        <f t="shared" si="31"/>
        <v>1</v>
      </c>
      <c r="G39" s="10">
        <f t="shared" si="43"/>
        <v>2</v>
      </c>
      <c r="H39" s="2">
        <f t="shared" si="33"/>
        <v>1</v>
      </c>
      <c r="I39" s="2">
        <f t="shared" si="34"/>
        <v>0</v>
      </c>
      <c r="J39" s="10">
        <f t="shared" si="44"/>
        <v>1</v>
      </c>
      <c r="K39" s="2">
        <f t="shared" si="36"/>
        <v>1</v>
      </c>
      <c r="L39" s="2">
        <f t="shared" si="37"/>
        <v>3</v>
      </c>
      <c r="M39" s="10">
        <f t="shared" si="45"/>
        <v>4</v>
      </c>
      <c r="N39" s="2">
        <f t="shared" si="39"/>
        <v>3</v>
      </c>
      <c r="O39" s="2">
        <f t="shared" si="40"/>
        <v>4</v>
      </c>
      <c r="P39" s="10">
        <f t="shared" si="46"/>
        <v>7</v>
      </c>
    </row>
    <row r="40" spans="1:16">
      <c r="A40" s="14" t="s">
        <v>352</v>
      </c>
      <c r="B40" s="2">
        <f t="shared" si="27"/>
        <v>2</v>
      </c>
      <c r="C40" s="2">
        <f t="shared" si="28"/>
        <v>3</v>
      </c>
      <c r="D40" s="10">
        <f t="shared" si="42"/>
        <v>5</v>
      </c>
      <c r="E40" s="2">
        <f t="shared" si="30"/>
        <v>1</v>
      </c>
      <c r="F40" s="2">
        <f t="shared" si="31"/>
        <v>1</v>
      </c>
      <c r="G40" s="10">
        <f t="shared" si="43"/>
        <v>2</v>
      </c>
      <c r="H40" s="2">
        <f t="shared" si="33"/>
        <v>1</v>
      </c>
      <c r="I40" s="2">
        <f t="shared" si="34"/>
        <v>0</v>
      </c>
      <c r="J40" s="10">
        <f t="shared" si="44"/>
        <v>1</v>
      </c>
      <c r="K40" s="2">
        <f t="shared" si="36"/>
        <v>1</v>
      </c>
      <c r="L40" s="2">
        <f t="shared" si="37"/>
        <v>0</v>
      </c>
      <c r="M40" s="10">
        <f t="shared" si="45"/>
        <v>1</v>
      </c>
      <c r="N40" s="2">
        <f t="shared" si="39"/>
        <v>3</v>
      </c>
      <c r="O40" s="2">
        <f t="shared" si="40"/>
        <v>4</v>
      </c>
      <c r="P40" s="10">
        <f t="shared" si="46"/>
        <v>7</v>
      </c>
    </row>
    <row r="41" spans="1:16">
      <c r="A41" s="14" t="s">
        <v>353</v>
      </c>
      <c r="B41" s="2">
        <f t="shared" si="27"/>
        <v>2</v>
      </c>
      <c r="C41" s="2">
        <f t="shared" si="28"/>
        <v>0</v>
      </c>
      <c r="D41" s="10">
        <f t="shared" si="42"/>
        <v>2</v>
      </c>
      <c r="E41" s="2">
        <f t="shared" si="30"/>
        <v>1</v>
      </c>
      <c r="F41" s="2">
        <f t="shared" si="31"/>
        <v>0</v>
      </c>
      <c r="G41" s="10">
        <f t="shared" si="43"/>
        <v>1</v>
      </c>
      <c r="H41" s="2">
        <f t="shared" si="33"/>
        <v>1</v>
      </c>
      <c r="I41" s="2">
        <f t="shared" si="34"/>
        <v>2</v>
      </c>
      <c r="J41" s="10">
        <f t="shared" si="44"/>
        <v>3</v>
      </c>
      <c r="K41" s="2">
        <f t="shared" si="36"/>
        <v>1</v>
      </c>
      <c r="L41" s="2">
        <f t="shared" si="37"/>
        <v>1</v>
      </c>
      <c r="M41" s="10">
        <f t="shared" si="45"/>
        <v>2</v>
      </c>
      <c r="N41" s="2">
        <f t="shared" si="39"/>
        <v>3</v>
      </c>
      <c r="O41" s="2">
        <f t="shared" si="40"/>
        <v>4</v>
      </c>
      <c r="P41" s="10">
        <f t="shared" si="46"/>
        <v>7</v>
      </c>
    </row>
    <row r="42" spans="1:16">
      <c r="A42" s="14" t="s">
        <v>354</v>
      </c>
      <c r="B42" s="2">
        <f t="shared" si="27"/>
        <v>2</v>
      </c>
      <c r="C42" s="2">
        <f t="shared" si="28"/>
        <v>0</v>
      </c>
      <c r="D42" s="10">
        <f t="shared" si="42"/>
        <v>2</v>
      </c>
      <c r="E42" s="2">
        <f t="shared" si="30"/>
        <v>1</v>
      </c>
      <c r="F42" s="2">
        <f t="shared" si="31"/>
        <v>2</v>
      </c>
      <c r="G42" s="10">
        <f t="shared" si="43"/>
        <v>3</v>
      </c>
      <c r="H42" s="2">
        <f t="shared" si="33"/>
        <v>1</v>
      </c>
      <c r="I42" s="2">
        <f t="shared" si="34"/>
        <v>0</v>
      </c>
      <c r="J42" s="10">
        <f t="shared" si="44"/>
        <v>1</v>
      </c>
      <c r="K42" s="2">
        <f t="shared" si="36"/>
        <v>1</v>
      </c>
      <c r="L42" s="2">
        <f t="shared" si="37"/>
        <v>0</v>
      </c>
      <c r="M42" s="10">
        <f t="shared" si="45"/>
        <v>1</v>
      </c>
      <c r="N42" s="2">
        <f t="shared" si="39"/>
        <v>3</v>
      </c>
      <c r="O42" s="2">
        <f t="shared" si="40"/>
        <v>2</v>
      </c>
      <c r="P42" s="10">
        <f t="shared" si="46"/>
        <v>5</v>
      </c>
    </row>
    <row r="43" spans="1:16">
      <c r="A43" s="14" t="s">
        <v>355</v>
      </c>
      <c r="B43" s="2">
        <f t="shared" si="27"/>
        <v>2</v>
      </c>
      <c r="C43" s="2">
        <f t="shared" si="28"/>
        <v>4</v>
      </c>
      <c r="D43" s="10">
        <f t="shared" si="42"/>
        <v>6</v>
      </c>
      <c r="E43" s="2">
        <f t="shared" si="30"/>
        <v>1</v>
      </c>
      <c r="F43" s="2">
        <f t="shared" si="31"/>
        <v>3</v>
      </c>
      <c r="G43" s="10">
        <f t="shared" si="43"/>
        <v>4</v>
      </c>
      <c r="H43" s="2">
        <f t="shared" si="33"/>
        <v>1</v>
      </c>
      <c r="I43" s="2">
        <f t="shared" si="34"/>
        <v>1</v>
      </c>
      <c r="J43" s="10">
        <f t="shared" si="44"/>
        <v>2</v>
      </c>
      <c r="K43" s="2">
        <f t="shared" si="36"/>
        <v>1</v>
      </c>
      <c r="L43" s="2">
        <f t="shared" si="37"/>
        <v>2</v>
      </c>
      <c r="M43" s="10">
        <f t="shared" si="45"/>
        <v>3</v>
      </c>
      <c r="N43" s="2">
        <f t="shared" si="39"/>
        <v>3</v>
      </c>
      <c r="O43" s="2">
        <f t="shared" si="40"/>
        <v>3</v>
      </c>
      <c r="P43" s="10">
        <f t="shared" si="46"/>
        <v>6</v>
      </c>
    </row>
    <row r="44" spans="1:16">
      <c r="A44" s="13" t="s">
        <v>337</v>
      </c>
      <c r="B44" s="10"/>
      <c r="C44" s="10"/>
      <c r="D44" s="10">
        <f>SUM(D34:D43)</f>
        <v>38</v>
      </c>
      <c r="E44" s="10"/>
      <c r="F44" s="10"/>
      <c r="G44" s="10">
        <f>SUM(G34:G43)</f>
        <v>25</v>
      </c>
      <c r="H44" s="10"/>
      <c r="I44" s="10"/>
      <c r="J44" s="10">
        <f>SUM(J34:J43)</f>
        <v>18</v>
      </c>
      <c r="K44" s="10"/>
      <c r="L44" s="10"/>
      <c r="M44" s="10">
        <f>SUM(M34:M43)</f>
        <v>20</v>
      </c>
      <c r="N44" s="10"/>
      <c r="O44" s="10"/>
      <c r="P44" s="10">
        <f>SUM(P34:P43)</f>
        <v>59</v>
      </c>
    </row>
    <row r="47" spans="1:16">
      <c r="A47" s="64"/>
      <c r="B47" s="64" t="s">
        <v>333</v>
      </c>
      <c r="C47" s="64"/>
      <c r="D47" s="64"/>
      <c r="E47" s="64" t="s">
        <v>8</v>
      </c>
      <c r="F47" s="64"/>
      <c r="G47" s="64"/>
      <c r="H47" s="64" t="s">
        <v>10</v>
      </c>
      <c r="I47" s="64"/>
      <c r="J47" s="64"/>
      <c r="K47" s="64" t="s">
        <v>12</v>
      </c>
      <c r="L47" s="64"/>
      <c r="M47" s="64"/>
      <c r="N47" s="64" t="s">
        <v>334</v>
      </c>
      <c r="O47" s="64"/>
      <c r="P47" s="64"/>
    </row>
    <row r="48" spans="1:16">
      <c r="A48" s="64"/>
      <c r="B48" s="13" t="s">
        <v>3</v>
      </c>
      <c r="C48" s="13" t="s">
        <v>63</v>
      </c>
      <c r="D48" s="13" t="s">
        <v>337</v>
      </c>
      <c r="E48" s="13" t="s">
        <v>3</v>
      </c>
      <c r="F48" s="13" t="s">
        <v>63</v>
      </c>
      <c r="G48" s="13" t="s">
        <v>337</v>
      </c>
      <c r="H48" s="13" t="s">
        <v>3</v>
      </c>
      <c r="I48" s="13" t="s">
        <v>63</v>
      </c>
      <c r="J48" s="13" t="s">
        <v>337</v>
      </c>
      <c r="K48" s="13" t="s">
        <v>3</v>
      </c>
      <c r="L48" s="13" t="s">
        <v>63</v>
      </c>
      <c r="M48" s="13" t="s">
        <v>337</v>
      </c>
      <c r="N48" s="13" t="s">
        <v>3</v>
      </c>
      <c r="O48" s="13" t="s">
        <v>63</v>
      </c>
      <c r="P48" s="13" t="s">
        <v>337</v>
      </c>
    </row>
    <row r="49" spans="1:16">
      <c r="A49" s="14" t="s">
        <v>338</v>
      </c>
      <c r="B49" s="2">
        <f>B4+B19+B34</f>
        <v>5</v>
      </c>
      <c r="C49" s="2">
        <f>C4+C19+C34</f>
        <v>5</v>
      </c>
      <c r="D49" s="10">
        <f>SUM(B49:C49)</f>
        <v>10</v>
      </c>
      <c r="E49" s="2">
        <f>E4+E19+E34</f>
        <v>8</v>
      </c>
      <c r="F49" s="2">
        <f>F4+F19+F34</f>
        <v>4</v>
      </c>
      <c r="G49" s="10">
        <f>SUM(E49:F49)</f>
        <v>12</v>
      </c>
      <c r="H49" s="2">
        <f>H4+H19+H34</f>
        <v>4</v>
      </c>
      <c r="I49" s="2">
        <f>I4+I19+I34</f>
        <v>2</v>
      </c>
      <c r="J49" s="10">
        <f>SUM(H49:I49)</f>
        <v>6</v>
      </c>
      <c r="K49" s="2">
        <f>K4+K19+K34</f>
        <v>5</v>
      </c>
      <c r="L49" s="2">
        <f>L4+L19+L34</f>
        <v>2</v>
      </c>
      <c r="M49" s="10">
        <f>SUM(K49:L49)</f>
        <v>7</v>
      </c>
      <c r="N49" s="2">
        <f>N4+N19+N34</f>
        <v>8</v>
      </c>
      <c r="O49" s="2">
        <f>O4+O19+O34</f>
        <v>4</v>
      </c>
      <c r="P49" s="10">
        <f>SUM(N49:O49)</f>
        <v>12</v>
      </c>
    </row>
    <row r="50" spans="1:16">
      <c r="A50" s="14" t="s">
        <v>345</v>
      </c>
      <c r="B50" s="2">
        <f t="shared" ref="B50:C50" si="47">B5+B20+B35</f>
        <v>5</v>
      </c>
      <c r="C50" s="2">
        <f t="shared" si="47"/>
        <v>4</v>
      </c>
      <c r="D50" s="10">
        <f t="shared" ref="D50:D57" si="48">SUM(B50:C50)</f>
        <v>9</v>
      </c>
      <c r="E50" s="2">
        <f t="shared" ref="E50:F50" si="49">E5+E20+E35</f>
        <v>8</v>
      </c>
      <c r="F50" s="2">
        <f t="shared" si="49"/>
        <v>2</v>
      </c>
      <c r="G50" s="10">
        <f t="shared" ref="G50:G57" si="50">SUM(E50:F50)</f>
        <v>10</v>
      </c>
      <c r="H50" s="2">
        <f t="shared" ref="H50:I50" si="51">H5+H20+H35</f>
        <v>4</v>
      </c>
      <c r="I50" s="2">
        <f t="shared" si="51"/>
        <v>2</v>
      </c>
      <c r="J50" s="10">
        <f t="shared" ref="J50:J57" si="52">SUM(H50:I50)</f>
        <v>6</v>
      </c>
      <c r="K50" s="2">
        <f t="shared" ref="K50:L50" si="53">K5+K20+K35</f>
        <v>5</v>
      </c>
      <c r="L50" s="2">
        <f t="shared" si="53"/>
        <v>1</v>
      </c>
      <c r="M50" s="10">
        <f t="shared" ref="M50:M57" si="54">SUM(K50:L50)</f>
        <v>6</v>
      </c>
      <c r="N50" s="2">
        <f t="shared" ref="N50:O50" si="55">N5+N20+N35</f>
        <v>8</v>
      </c>
      <c r="O50" s="2">
        <f t="shared" si="55"/>
        <v>5</v>
      </c>
      <c r="P50" s="10">
        <f t="shared" ref="P50:P57" si="56">SUM(N50:O50)</f>
        <v>13</v>
      </c>
    </row>
    <row r="51" spans="1:16">
      <c r="A51" s="14" t="s">
        <v>347</v>
      </c>
      <c r="B51" s="2">
        <f t="shared" ref="B51:C51" si="57">B6+B21+B36</f>
        <v>5</v>
      </c>
      <c r="C51" s="2">
        <f t="shared" si="57"/>
        <v>6</v>
      </c>
      <c r="D51" s="10">
        <f t="shared" si="48"/>
        <v>11</v>
      </c>
      <c r="E51" s="2">
        <f t="shared" ref="E51:F51" si="58">E6+E21+E36</f>
        <v>8</v>
      </c>
      <c r="F51" s="2">
        <f t="shared" si="58"/>
        <v>2</v>
      </c>
      <c r="G51" s="10">
        <f t="shared" si="50"/>
        <v>10</v>
      </c>
      <c r="H51" s="2">
        <f t="shared" ref="H51:I51" si="59">H6+H21+H36</f>
        <v>4</v>
      </c>
      <c r="I51" s="2">
        <f t="shared" si="59"/>
        <v>2</v>
      </c>
      <c r="J51" s="10">
        <f t="shared" si="52"/>
        <v>6</v>
      </c>
      <c r="K51" s="2">
        <f t="shared" ref="K51:L51" si="60">K6+K21+K36</f>
        <v>5</v>
      </c>
      <c r="L51" s="2">
        <f t="shared" si="60"/>
        <v>5</v>
      </c>
      <c r="M51" s="10">
        <f t="shared" si="54"/>
        <v>10</v>
      </c>
      <c r="N51" s="2">
        <f t="shared" ref="N51:O51" si="61">N6+N21+N36</f>
        <v>8</v>
      </c>
      <c r="O51" s="2">
        <f t="shared" si="61"/>
        <v>7</v>
      </c>
      <c r="P51" s="10">
        <f t="shared" si="56"/>
        <v>15</v>
      </c>
    </row>
    <row r="52" spans="1:16">
      <c r="A52" s="14" t="s">
        <v>349</v>
      </c>
      <c r="B52" s="2">
        <f t="shared" ref="B52:C52" si="62">B7+B22+B37</f>
        <v>5</v>
      </c>
      <c r="C52" s="2">
        <f t="shared" si="62"/>
        <v>4</v>
      </c>
      <c r="D52" s="10">
        <f t="shared" si="48"/>
        <v>9</v>
      </c>
      <c r="E52" s="2">
        <f t="shared" ref="E52:F52" si="63">E7+E22+E37</f>
        <v>8</v>
      </c>
      <c r="F52" s="2">
        <f t="shared" si="63"/>
        <v>4</v>
      </c>
      <c r="G52" s="10">
        <f t="shared" si="50"/>
        <v>12</v>
      </c>
      <c r="H52" s="2">
        <f t="shared" ref="H52:I52" si="64">H7+H22+H37</f>
        <v>4</v>
      </c>
      <c r="I52" s="2">
        <f t="shared" si="64"/>
        <v>4</v>
      </c>
      <c r="J52" s="10">
        <f t="shared" si="52"/>
        <v>8</v>
      </c>
      <c r="K52" s="2">
        <f t="shared" ref="K52:L52" si="65">K7+K22+K37</f>
        <v>5</v>
      </c>
      <c r="L52" s="2">
        <f t="shared" si="65"/>
        <v>4</v>
      </c>
      <c r="M52" s="10">
        <f t="shared" si="54"/>
        <v>9</v>
      </c>
      <c r="N52" s="2">
        <f t="shared" ref="N52:O52" si="66">N7+N22+N37</f>
        <v>8</v>
      </c>
      <c r="O52" s="2">
        <f t="shared" si="66"/>
        <v>1</v>
      </c>
      <c r="P52" s="10">
        <f t="shared" si="56"/>
        <v>9</v>
      </c>
    </row>
    <row r="53" spans="1:16">
      <c r="A53" s="14" t="s">
        <v>350</v>
      </c>
      <c r="B53" s="2">
        <f t="shared" ref="B53:C53" si="67">B8+B23+B38</f>
        <v>5</v>
      </c>
      <c r="C53" s="2">
        <f t="shared" si="67"/>
        <v>3</v>
      </c>
      <c r="D53" s="10">
        <f t="shared" si="48"/>
        <v>8</v>
      </c>
      <c r="E53" s="2">
        <f t="shared" ref="E53:F53" si="68">E8+E23+E38</f>
        <v>8</v>
      </c>
      <c r="F53" s="2">
        <f t="shared" si="68"/>
        <v>6</v>
      </c>
      <c r="G53" s="10">
        <f t="shared" si="50"/>
        <v>14</v>
      </c>
      <c r="H53" s="2">
        <f t="shared" ref="H53:I53" si="69">H8+H23+H38</f>
        <v>4</v>
      </c>
      <c r="I53" s="2">
        <f t="shared" si="69"/>
        <v>1</v>
      </c>
      <c r="J53" s="10">
        <f t="shared" si="52"/>
        <v>5</v>
      </c>
      <c r="K53" s="2">
        <f t="shared" ref="K53:L53" si="70">K8+K23+K38</f>
        <v>5</v>
      </c>
      <c r="L53" s="2">
        <f t="shared" si="70"/>
        <v>0</v>
      </c>
      <c r="M53" s="10">
        <f t="shared" si="54"/>
        <v>5</v>
      </c>
      <c r="N53" s="2">
        <f t="shared" ref="N53:O53" si="71">N8+N23+N38</f>
        <v>8</v>
      </c>
      <c r="O53" s="2">
        <f t="shared" si="71"/>
        <v>3</v>
      </c>
      <c r="P53" s="10">
        <f t="shared" si="56"/>
        <v>11</v>
      </c>
    </row>
    <row r="54" spans="1:16">
      <c r="A54" s="14" t="s">
        <v>351</v>
      </c>
      <c r="B54" s="2">
        <f t="shared" ref="B54:C54" si="72">B9+B24+B39</f>
        <v>5</v>
      </c>
      <c r="C54" s="2">
        <f t="shared" si="72"/>
        <v>3</v>
      </c>
      <c r="D54" s="10">
        <f t="shared" si="48"/>
        <v>8</v>
      </c>
      <c r="E54" s="2">
        <f t="shared" ref="E54:F54" si="73">E9+E24+E39</f>
        <v>8</v>
      </c>
      <c r="F54" s="2">
        <f t="shared" si="73"/>
        <v>3</v>
      </c>
      <c r="G54" s="10">
        <f t="shared" si="50"/>
        <v>11</v>
      </c>
      <c r="H54" s="2">
        <f t="shared" ref="H54:I54" si="74">H9+H24+H39</f>
        <v>4</v>
      </c>
      <c r="I54" s="2">
        <f t="shared" si="74"/>
        <v>1</v>
      </c>
      <c r="J54" s="10">
        <f t="shared" si="52"/>
        <v>5</v>
      </c>
      <c r="K54" s="2">
        <f t="shared" ref="K54:L54" si="75">K9+K24+K39</f>
        <v>5</v>
      </c>
      <c r="L54" s="2">
        <f t="shared" si="75"/>
        <v>4</v>
      </c>
      <c r="M54" s="10">
        <f t="shared" si="54"/>
        <v>9</v>
      </c>
      <c r="N54" s="2">
        <f t="shared" ref="N54:O54" si="76">N9+N24+N39</f>
        <v>8</v>
      </c>
      <c r="O54" s="2">
        <f t="shared" si="76"/>
        <v>8</v>
      </c>
      <c r="P54" s="10">
        <f t="shared" si="56"/>
        <v>16</v>
      </c>
    </row>
    <row r="55" spans="1:16">
      <c r="A55" s="14" t="s">
        <v>352</v>
      </c>
      <c r="B55" s="2">
        <f t="shared" ref="B55:C55" si="77">B10+B25+B40</f>
        <v>5</v>
      </c>
      <c r="C55" s="2">
        <f t="shared" si="77"/>
        <v>5</v>
      </c>
      <c r="D55" s="10">
        <f t="shared" si="48"/>
        <v>10</v>
      </c>
      <c r="E55" s="2">
        <f t="shared" ref="E55:F55" si="78">E10+E25+E40</f>
        <v>8</v>
      </c>
      <c r="F55" s="2">
        <f t="shared" si="78"/>
        <v>3</v>
      </c>
      <c r="G55" s="10">
        <f t="shared" si="50"/>
        <v>11</v>
      </c>
      <c r="H55" s="2">
        <f t="shared" ref="H55:I55" si="79">H10+H25+H40</f>
        <v>4</v>
      </c>
      <c r="I55" s="2">
        <f t="shared" si="79"/>
        <v>1</v>
      </c>
      <c r="J55" s="10">
        <f t="shared" si="52"/>
        <v>5</v>
      </c>
      <c r="K55" s="2">
        <f t="shared" ref="K55:L55" si="80">K10+K25+K40</f>
        <v>5</v>
      </c>
      <c r="L55" s="2">
        <f t="shared" si="80"/>
        <v>1</v>
      </c>
      <c r="M55" s="10">
        <f t="shared" si="54"/>
        <v>6</v>
      </c>
      <c r="N55" s="2">
        <f t="shared" ref="N55:O55" si="81">N10+N25+N40</f>
        <v>8</v>
      </c>
      <c r="O55" s="2">
        <f t="shared" si="81"/>
        <v>7</v>
      </c>
      <c r="P55" s="10">
        <f t="shared" si="56"/>
        <v>15</v>
      </c>
    </row>
    <row r="56" spans="1:16">
      <c r="A56" s="14" t="s">
        <v>353</v>
      </c>
      <c r="B56" s="2">
        <f t="shared" ref="B56:C56" si="82">B11+B26+B41</f>
        <v>5</v>
      </c>
      <c r="C56" s="2">
        <f t="shared" si="82"/>
        <v>0</v>
      </c>
      <c r="D56" s="10">
        <f t="shared" si="48"/>
        <v>5</v>
      </c>
      <c r="E56" s="2">
        <f t="shared" ref="E56:F56" si="83">E11+E26+E41</f>
        <v>8</v>
      </c>
      <c r="F56" s="2">
        <f t="shared" si="83"/>
        <v>2</v>
      </c>
      <c r="G56" s="10">
        <f t="shared" si="50"/>
        <v>10</v>
      </c>
      <c r="H56" s="2">
        <f t="shared" ref="H56:I56" si="84">H11+H26+H41</f>
        <v>4</v>
      </c>
      <c r="I56" s="2">
        <f t="shared" si="84"/>
        <v>2</v>
      </c>
      <c r="J56" s="10">
        <f t="shared" si="52"/>
        <v>6</v>
      </c>
      <c r="K56" s="2">
        <f t="shared" ref="K56:L56" si="85">K11+K26+K41</f>
        <v>5</v>
      </c>
      <c r="L56" s="2">
        <f t="shared" si="85"/>
        <v>3</v>
      </c>
      <c r="M56" s="10">
        <f t="shared" si="54"/>
        <v>8</v>
      </c>
      <c r="N56" s="2">
        <f t="shared" ref="N56:O56" si="86">N11+N26+N41</f>
        <v>8</v>
      </c>
      <c r="O56" s="2">
        <f t="shared" si="86"/>
        <v>8</v>
      </c>
      <c r="P56" s="10">
        <f t="shared" si="56"/>
        <v>16</v>
      </c>
    </row>
    <row r="57" spans="1:16">
      <c r="A57" s="14" t="s">
        <v>354</v>
      </c>
      <c r="B57" s="2">
        <f t="shared" ref="B57:C57" si="87">B12+B27+B42</f>
        <v>5</v>
      </c>
      <c r="C57" s="2">
        <f t="shared" si="87"/>
        <v>0</v>
      </c>
      <c r="D57" s="10">
        <f t="shared" si="48"/>
        <v>5</v>
      </c>
      <c r="E57" s="2">
        <f t="shared" ref="E57:F57" si="88">E12+E27+E42</f>
        <v>8</v>
      </c>
      <c r="F57" s="2">
        <f t="shared" si="88"/>
        <v>5</v>
      </c>
      <c r="G57" s="10">
        <f t="shared" si="50"/>
        <v>13</v>
      </c>
      <c r="H57" s="2">
        <f t="shared" ref="H57:I57" si="89">H12+H27+H42</f>
        <v>4</v>
      </c>
      <c r="I57" s="2">
        <f t="shared" si="89"/>
        <v>1</v>
      </c>
      <c r="J57" s="10">
        <f t="shared" si="52"/>
        <v>5</v>
      </c>
      <c r="K57" s="2">
        <f t="shared" ref="K57:L57" si="90">K12+K27+K42</f>
        <v>5</v>
      </c>
      <c r="L57" s="2">
        <f t="shared" si="90"/>
        <v>0</v>
      </c>
      <c r="M57" s="10">
        <f t="shared" si="54"/>
        <v>5</v>
      </c>
      <c r="N57" s="2">
        <f t="shared" ref="N57:O57" si="91">N12+N27+N42</f>
        <v>8</v>
      </c>
      <c r="O57" s="2">
        <f t="shared" si="91"/>
        <v>5</v>
      </c>
      <c r="P57" s="10">
        <f t="shared" si="56"/>
        <v>13</v>
      </c>
    </row>
    <row r="58" spans="1:16">
      <c r="A58" s="14" t="s">
        <v>355</v>
      </c>
      <c r="B58" s="2">
        <f t="shared" ref="B58:C58" si="92">B13+B28+B43</f>
        <v>5</v>
      </c>
      <c r="C58" s="2">
        <f t="shared" si="92"/>
        <v>6</v>
      </c>
      <c r="D58" s="10">
        <f>SUM(B58:C58)</f>
        <v>11</v>
      </c>
      <c r="E58" s="2">
        <f t="shared" ref="E58:F58" si="93">E13+E28+E43</f>
        <v>8</v>
      </c>
      <c r="F58" s="2">
        <f t="shared" si="93"/>
        <v>4</v>
      </c>
      <c r="G58" s="10">
        <v>6</v>
      </c>
      <c r="H58" s="2">
        <f t="shared" ref="H58:I58" si="94">H13+H28+H43</f>
        <v>4</v>
      </c>
      <c r="I58" s="2">
        <f t="shared" si="94"/>
        <v>2</v>
      </c>
      <c r="J58" s="10">
        <v>6</v>
      </c>
      <c r="K58" s="2">
        <f t="shared" ref="K58:L58" si="95">K13+K28+K43</f>
        <v>5</v>
      </c>
      <c r="L58" s="2">
        <f t="shared" si="95"/>
        <v>4</v>
      </c>
      <c r="M58" s="10">
        <v>6</v>
      </c>
      <c r="N58" s="2">
        <f t="shared" ref="N58:O58" si="96">N13+N28+N43</f>
        <v>8</v>
      </c>
      <c r="O58" s="2">
        <f t="shared" si="96"/>
        <v>5</v>
      </c>
      <c r="P58" s="10">
        <v>6</v>
      </c>
    </row>
    <row r="59" spans="1:16">
      <c r="A59" s="13" t="s">
        <v>337</v>
      </c>
      <c r="B59" s="10"/>
      <c r="C59" s="10"/>
      <c r="D59" s="10">
        <f>SUM(D49:D58)</f>
        <v>86</v>
      </c>
      <c r="E59" s="10"/>
      <c r="F59" s="10"/>
      <c r="G59" s="10">
        <f>SUM(G49:G58)</f>
        <v>109</v>
      </c>
      <c r="H59" s="10"/>
      <c r="I59" s="10"/>
      <c r="J59" s="10">
        <f>SUM(J49:J58)</f>
        <v>58</v>
      </c>
      <c r="K59" s="10"/>
      <c r="L59" s="10"/>
      <c r="M59" s="10">
        <f>SUM(M49:M58)</f>
        <v>71</v>
      </c>
      <c r="N59" s="10"/>
      <c r="O59" s="10"/>
      <c r="P59" s="10">
        <f>SUM(P49:P58)</f>
        <v>126</v>
      </c>
    </row>
  </sheetData>
  <mergeCells count="23">
    <mergeCell ref="N2:P2"/>
    <mergeCell ref="A2:A3"/>
    <mergeCell ref="B2:D2"/>
    <mergeCell ref="E2:G2"/>
    <mergeCell ref="H2:J2"/>
    <mergeCell ref="K2:M2"/>
    <mergeCell ref="K17:M17"/>
    <mergeCell ref="N17:P17"/>
    <mergeCell ref="A17:A18"/>
    <mergeCell ref="B17:D17"/>
    <mergeCell ref="E17:G17"/>
    <mergeCell ref="H17:J17"/>
    <mergeCell ref="N47:P47"/>
    <mergeCell ref="B32:D32"/>
    <mergeCell ref="E32:G32"/>
    <mergeCell ref="H32:J32"/>
    <mergeCell ref="K32:M32"/>
    <mergeCell ref="N32:P32"/>
    <mergeCell ref="A47:A48"/>
    <mergeCell ref="B47:D47"/>
    <mergeCell ref="E47:G47"/>
    <mergeCell ref="H47:J47"/>
    <mergeCell ref="K47:M47"/>
  </mergeCells>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A38B-ED99-40CF-94B3-8943D569E912}">
  <dimension ref="A1:J259"/>
  <sheetViews>
    <sheetView topLeftCell="A81" workbookViewId="0">
      <selection activeCell="G121" sqref="G121"/>
    </sheetView>
  </sheetViews>
  <sheetFormatPr defaultRowHeight="17.649999999999999"/>
  <cols>
    <col min="1" max="1" width="15" customWidth="1"/>
    <col min="2" max="2" width="9.1875" customWidth="1"/>
    <col min="3" max="3" width="6.6875" customWidth="1"/>
    <col min="4" max="4" width="10" customWidth="1"/>
    <col min="5" max="5" width="8.3125" customWidth="1"/>
    <col min="6" max="10" width="16.6875" customWidth="1"/>
  </cols>
  <sheetData>
    <row r="1" spans="1:10" ht="19.899999999999999">
      <c r="A1" s="68" t="s">
        <v>359</v>
      </c>
      <c r="B1" s="68"/>
      <c r="C1" s="68"/>
      <c r="D1" s="68"/>
      <c r="E1" s="68"/>
      <c r="F1" s="68"/>
      <c r="G1" s="68"/>
      <c r="H1" s="68"/>
      <c r="I1" s="68"/>
      <c r="J1" s="68"/>
    </row>
    <row r="2" spans="1:10">
      <c r="A2" s="62" t="s">
        <v>358</v>
      </c>
      <c r="B2" s="62" t="s">
        <v>331</v>
      </c>
      <c r="C2" s="62" t="s">
        <v>360</v>
      </c>
      <c r="D2" s="62" t="s">
        <v>361</v>
      </c>
      <c r="E2" s="62" t="s">
        <v>362</v>
      </c>
      <c r="F2" s="62" t="s">
        <v>333</v>
      </c>
      <c r="G2" s="62" t="s">
        <v>363</v>
      </c>
      <c r="H2" s="62" t="s">
        <v>364</v>
      </c>
      <c r="I2" s="62" t="s">
        <v>365</v>
      </c>
      <c r="J2" s="62" t="s">
        <v>366</v>
      </c>
    </row>
    <row r="3" spans="1:10">
      <c r="A3" t="str">
        <f>問題!A3</f>
        <v>00全班共通</v>
      </c>
      <c r="B3" t="str">
        <f>問題!B3</f>
        <v>シーン1</v>
      </c>
      <c r="C3">
        <f>問題!C3</f>
        <v>1</v>
      </c>
      <c r="D3" t="str">
        <f>問題!D3</f>
        <v>共通01</v>
      </c>
      <c r="E3" t="str">
        <f>問題!E3</f>
        <v>共通</v>
      </c>
      <c r="F3" t="str">
        <f>IF(問題!G3="●","〇","×")</f>
        <v>×</v>
      </c>
      <c r="G3" t="str">
        <f>IF(問題!I3="●","〇","×")</f>
        <v>〇</v>
      </c>
      <c r="H3" t="str">
        <f>IF(問題!K3="●","〇","×")</f>
        <v>×</v>
      </c>
      <c r="I3" t="str">
        <f>IF(問題!M3="●","〇","×")</f>
        <v>〇</v>
      </c>
      <c r="J3" t="str">
        <f>IF(問題!O3="●","〇","×")</f>
        <v>〇</v>
      </c>
    </row>
    <row r="4" spans="1:10">
      <c r="A4" t="str">
        <f>問題!A4</f>
        <v>00全班共通</v>
      </c>
      <c r="B4" t="str">
        <f>問題!B4</f>
        <v>シーン1</v>
      </c>
      <c r="C4">
        <f>問題!C4</f>
        <v>2</v>
      </c>
      <c r="D4" t="str">
        <f>問題!D4</f>
        <v>共通02</v>
      </c>
      <c r="E4" t="str">
        <f>問題!E4</f>
        <v>共通</v>
      </c>
      <c r="F4" t="str">
        <f>IF(問題!G4="●","〇","×")</f>
        <v>×</v>
      </c>
      <c r="G4" t="str">
        <f>IF(問題!I4="●","〇","×")</f>
        <v>〇</v>
      </c>
      <c r="H4" t="str">
        <f>IF(問題!K4="●","〇","×")</f>
        <v>×</v>
      </c>
      <c r="I4" t="str">
        <f>IF(問題!M4="●","〇","×")</f>
        <v>×</v>
      </c>
      <c r="J4" t="str">
        <f>IF(問題!O4="●","〇","×")</f>
        <v>×</v>
      </c>
    </row>
    <row r="5" spans="1:10">
      <c r="A5" t="str">
        <f>問題!A5</f>
        <v>00全班共通</v>
      </c>
      <c r="B5" t="str">
        <f>問題!B5</f>
        <v>シーン1</v>
      </c>
      <c r="C5">
        <f>問題!C5</f>
        <v>3</v>
      </c>
      <c r="D5" t="str">
        <f>問題!D5</f>
        <v>共通03</v>
      </c>
      <c r="E5" t="str">
        <f>問題!E5</f>
        <v>共通</v>
      </c>
      <c r="F5" t="str">
        <f>IF(問題!G5="●","〇","×")</f>
        <v>×</v>
      </c>
      <c r="G5" t="str">
        <f>IF(問題!I5="●","〇","×")</f>
        <v>×</v>
      </c>
      <c r="H5" t="str">
        <f>IF(問題!K5="●","〇","×")</f>
        <v>〇</v>
      </c>
      <c r="I5" t="str">
        <f>IF(問題!M5="●","〇","×")</f>
        <v>×</v>
      </c>
      <c r="J5" t="str">
        <f>IF(問題!O5="●","〇","×")</f>
        <v>×</v>
      </c>
    </row>
    <row r="6" spans="1:10">
      <c r="A6" t="str">
        <f>問題!A6</f>
        <v>00全班共通</v>
      </c>
      <c r="B6" t="str">
        <f>問題!B6</f>
        <v>シーン1</v>
      </c>
      <c r="C6">
        <f>問題!C6</f>
        <v>4</v>
      </c>
      <c r="D6" t="str">
        <f>問題!D6</f>
        <v>共通04</v>
      </c>
      <c r="E6" t="str">
        <f>問題!E6</f>
        <v>共通</v>
      </c>
      <c r="F6" t="str">
        <f>IF(問題!G6="●","〇","×")</f>
        <v>×</v>
      </c>
      <c r="G6" t="str">
        <f>IF(問題!I6="●","〇","×")</f>
        <v>〇</v>
      </c>
      <c r="H6" t="str">
        <f>IF(問題!K6="●","〇","×")</f>
        <v>×</v>
      </c>
      <c r="I6" t="str">
        <f>IF(問題!M6="●","〇","×")</f>
        <v>×</v>
      </c>
      <c r="J6" t="str">
        <f>IF(問題!O6="●","〇","×")</f>
        <v>〇</v>
      </c>
    </row>
    <row r="7" spans="1:10">
      <c r="A7" t="str">
        <f>問題!A7</f>
        <v>00全班共通</v>
      </c>
      <c r="B7" t="str">
        <f>問題!B7</f>
        <v>シーン1</v>
      </c>
      <c r="C7">
        <f>問題!C7</f>
        <v>5</v>
      </c>
      <c r="D7" t="str">
        <f>問題!D7</f>
        <v>共通05</v>
      </c>
      <c r="E7" t="str">
        <f>問題!E7</f>
        <v>共通</v>
      </c>
      <c r="F7" t="str">
        <f>IF(問題!G7="●","〇","×")</f>
        <v>×</v>
      </c>
      <c r="G7" t="str">
        <f>IF(問題!I7="●","〇","×")</f>
        <v>×</v>
      </c>
      <c r="H7" t="str">
        <f>IF(問題!K7="●","〇","×")</f>
        <v>×</v>
      </c>
      <c r="I7" t="str">
        <f>IF(問題!M7="●","〇","×")</f>
        <v>〇</v>
      </c>
      <c r="J7" t="str">
        <f>IF(問題!O7="●","〇","×")</f>
        <v>〇</v>
      </c>
    </row>
    <row r="8" spans="1:10">
      <c r="A8" t="str">
        <f>問題!A8</f>
        <v>00全班共通</v>
      </c>
      <c r="B8" t="str">
        <f>問題!B8</f>
        <v>シーン1</v>
      </c>
      <c r="C8">
        <f>問題!C8</f>
        <v>6</v>
      </c>
      <c r="D8" t="str">
        <f>問題!D8</f>
        <v>共通06</v>
      </c>
      <c r="E8" t="str">
        <f>問題!E8</f>
        <v>共通</v>
      </c>
      <c r="F8" t="str">
        <f>IF(問題!G8="●","〇","×")</f>
        <v>×</v>
      </c>
      <c r="G8" t="str">
        <f>IF(問題!I8="●","〇","×")</f>
        <v>〇</v>
      </c>
      <c r="H8" t="str">
        <f>IF(問題!K8="●","〇","×")</f>
        <v>〇</v>
      </c>
      <c r="I8" t="str">
        <f>IF(問題!M8="●","〇","×")</f>
        <v>〇</v>
      </c>
      <c r="J8" t="str">
        <f>IF(問題!O8="●","〇","×")</f>
        <v>×</v>
      </c>
    </row>
    <row r="9" spans="1:10">
      <c r="A9" t="str">
        <f>問題!A9</f>
        <v>00全班共通</v>
      </c>
      <c r="B9" t="str">
        <f>問題!B9</f>
        <v>シーン1</v>
      </c>
      <c r="C9">
        <f>問題!C9</f>
        <v>7</v>
      </c>
      <c r="D9" t="str">
        <f>問題!D9</f>
        <v>共通07</v>
      </c>
      <c r="E9" t="str">
        <f>問題!E9</f>
        <v>共通</v>
      </c>
      <c r="F9" t="str">
        <f>IF(問題!G9="●","〇","×")</f>
        <v>×</v>
      </c>
      <c r="G9" t="str">
        <f>IF(問題!I9="●","〇","×")</f>
        <v>〇</v>
      </c>
      <c r="H9" t="str">
        <f>IF(問題!K9="●","〇","×")</f>
        <v>×</v>
      </c>
      <c r="I9" t="str">
        <f>IF(問題!M9="●","〇","×")</f>
        <v>×</v>
      </c>
      <c r="J9" t="str">
        <f>IF(問題!O9="●","〇","×")</f>
        <v>〇</v>
      </c>
    </row>
    <row r="10" spans="1:10">
      <c r="A10" t="str">
        <f>問題!A10</f>
        <v>00全班共通</v>
      </c>
      <c r="B10" t="str">
        <f>問題!B10</f>
        <v>シーン1</v>
      </c>
      <c r="C10">
        <f>問題!C10</f>
        <v>8</v>
      </c>
      <c r="D10" t="str">
        <f>問題!D10</f>
        <v>共通08</v>
      </c>
      <c r="E10" t="str">
        <f>問題!E10</f>
        <v>共通</v>
      </c>
      <c r="F10" t="str">
        <f>IF(問題!G10="●","〇","×")</f>
        <v>×</v>
      </c>
      <c r="G10" t="str">
        <f>IF(問題!I10="●","〇","×")</f>
        <v>〇</v>
      </c>
      <c r="H10" t="str">
        <f>IF(問題!K10="●","〇","×")</f>
        <v>〇</v>
      </c>
      <c r="I10" t="str">
        <f>IF(問題!M10="●","〇","×")</f>
        <v>〇</v>
      </c>
      <c r="J10" t="str">
        <f>IF(問題!O10="●","〇","×")</f>
        <v>×</v>
      </c>
    </row>
    <row r="11" spans="1:10">
      <c r="A11" t="str">
        <f>問題!A11</f>
        <v>01本部長支援</v>
      </c>
      <c r="B11" t="str">
        <f>問題!B11</f>
        <v>シーン2</v>
      </c>
      <c r="C11">
        <f>問題!C11</f>
        <v>1</v>
      </c>
      <c r="D11" t="str">
        <f>問題!D11</f>
        <v>共通09</v>
      </c>
      <c r="E11" t="str">
        <f>問題!E11</f>
        <v>共通</v>
      </c>
      <c r="F11" t="str">
        <f>IF(問題!G11="●","〇","×")</f>
        <v>〇</v>
      </c>
      <c r="G11" t="str">
        <f>IF(問題!I11="●","〇","×")</f>
        <v>〇</v>
      </c>
      <c r="H11" t="str">
        <f>IF(問題!K11="●","〇","×")</f>
        <v>×</v>
      </c>
      <c r="I11" t="str">
        <f>IF(問題!M11="●","〇","×")</f>
        <v>×</v>
      </c>
      <c r="J11" t="str">
        <f>IF(問題!O11="●","〇","×")</f>
        <v>×</v>
      </c>
    </row>
    <row r="12" spans="1:10">
      <c r="A12" t="str">
        <f>問題!A12</f>
        <v>01本部長支援</v>
      </c>
      <c r="B12" t="str">
        <f>問題!B12</f>
        <v>シーン2</v>
      </c>
      <c r="C12">
        <f>問題!C12</f>
        <v>2</v>
      </c>
      <c r="D12" t="str">
        <f>問題!D12</f>
        <v>共通10</v>
      </c>
      <c r="E12" t="str">
        <f>問題!E12</f>
        <v>共通</v>
      </c>
      <c r="F12" t="str">
        <f>IF(問題!G12="●","〇","×")</f>
        <v>〇</v>
      </c>
      <c r="G12" t="str">
        <f>IF(問題!I12="●","〇","×")</f>
        <v>×</v>
      </c>
      <c r="H12" t="str">
        <f>IF(問題!K12="●","〇","×")</f>
        <v>×</v>
      </c>
      <c r="I12" t="str">
        <f>IF(問題!M12="●","〇","×")</f>
        <v>×</v>
      </c>
      <c r="J12" t="str">
        <f>IF(問題!O12="●","〇","×")</f>
        <v>〇</v>
      </c>
    </row>
    <row r="13" spans="1:10">
      <c r="A13" t="str">
        <f>問題!A13</f>
        <v>01本部長支援</v>
      </c>
      <c r="B13" t="str">
        <f>問題!B13</f>
        <v>シーン2</v>
      </c>
      <c r="C13">
        <f>問題!C13</f>
        <v>3</v>
      </c>
      <c r="D13" t="str">
        <f>問題!D13</f>
        <v>個別</v>
      </c>
      <c r="E13" t="str">
        <f>問題!E13</f>
        <v>個別</v>
      </c>
      <c r="F13" t="str">
        <f>IF(問題!G13="●","〇","×")</f>
        <v>〇</v>
      </c>
      <c r="G13" t="str">
        <f>IF(問題!I13="●","〇","×")</f>
        <v>〇</v>
      </c>
      <c r="H13" t="str">
        <f>IF(問題!K13="●","〇","×")</f>
        <v>×</v>
      </c>
      <c r="I13" t="str">
        <f>IF(問題!M13="●","〇","×")</f>
        <v>×</v>
      </c>
      <c r="J13" t="str">
        <f>IF(問題!O13="●","〇","×")</f>
        <v>〇</v>
      </c>
    </row>
    <row r="14" spans="1:10">
      <c r="A14" t="str">
        <f>問題!A14</f>
        <v>01本部長支援</v>
      </c>
      <c r="B14" t="str">
        <f>問題!B14</f>
        <v>シーン2</v>
      </c>
      <c r="C14">
        <f>問題!C14</f>
        <v>4</v>
      </c>
      <c r="D14" t="str">
        <f>問題!D14</f>
        <v>個別</v>
      </c>
      <c r="E14" t="str">
        <f>問題!E14</f>
        <v>個別</v>
      </c>
      <c r="F14" t="str">
        <f>IF(問題!G14="●","〇","×")</f>
        <v>×</v>
      </c>
      <c r="G14" t="str">
        <f>IF(問題!I14="●","〇","×")</f>
        <v>×</v>
      </c>
      <c r="H14" t="str">
        <f>IF(問題!K14="●","〇","×")</f>
        <v>〇</v>
      </c>
      <c r="I14" t="str">
        <f>IF(問題!M14="●","〇","×")</f>
        <v>〇</v>
      </c>
      <c r="J14" t="str">
        <f>IF(問題!O14="●","〇","×")</f>
        <v>〇</v>
      </c>
    </row>
    <row r="15" spans="1:10">
      <c r="A15" t="str">
        <f>問題!A15</f>
        <v>01本部長支援</v>
      </c>
      <c r="B15" t="str">
        <f>問題!B15</f>
        <v>シーン2</v>
      </c>
      <c r="C15">
        <f>問題!C15</f>
        <v>5</v>
      </c>
      <c r="D15" t="str">
        <f>問題!D15</f>
        <v>個別</v>
      </c>
      <c r="E15" t="str">
        <f>問題!E15</f>
        <v>個別</v>
      </c>
      <c r="F15" t="str">
        <f>IF(問題!G15="●","〇","×")</f>
        <v>〇</v>
      </c>
      <c r="G15" t="str">
        <f>IF(問題!I15="●","〇","×")</f>
        <v>〇</v>
      </c>
      <c r="H15" t="str">
        <f>IF(問題!K15="●","〇","×")</f>
        <v>×</v>
      </c>
      <c r="I15" t="str">
        <f>IF(問題!M15="●","〇","×")</f>
        <v>×</v>
      </c>
      <c r="J15" t="str">
        <f>IF(問題!O15="●","〇","×")</f>
        <v>×</v>
      </c>
    </row>
    <row r="16" spans="1:10">
      <c r="A16" t="str">
        <f>問題!A16</f>
        <v>01本部長支援</v>
      </c>
      <c r="B16" t="str">
        <f>問題!B16</f>
        <v>シーン2</v>
      </c>
      <c r="C16">
        <f>問題!C16</f>
        <v>6</v>
      </c>
      <c r="D16" t="str">
        <f>問題!D16</f>
        <v>個別</v>
      </c>
      <c r="E16" t="str">
        <f>問題!E16</f>
        <v>個別</v>
      </c>
      <c r="F16" t="str">
        <f>IF(問題!G16="●","〇","×")</f>
        <v>〇</v>
      </c>
      <c r="G16" t="str">
        <f>IF(問題!I16="●","〇","×")</f>
        <v>×</v>
      </c>
      <c r="H16" t="str">
        <f>IF(問題!K16="●","〇","×")</f>
        <v>×</v>
      </c>
      <c r="I16" t="str">
        <f>IF(問題!M16="●","〇","×")</f>
        <v>×</v>
      </c>
      <c r="J16" t="str">
        <f>IF(問題!O16="●","〇","×")</f>
        <v>×</v>
      </c>
    </row>
    <row r="17" spans="1:10">
      <c r="A17" t="str">
        <f>問題!A17</f>
        <v>01本部長支援</v>
      </c>
      <c r="B17" t="str">
        <f>問題!B17</f>
        <v>シーン2</v>
      </c>
      <c r="C17">
        <f>問題!C17</f>
        <v>7</v>
      </c>
      <c r="D17" t="str">
        <f>問題!D17</f>
        <v>共通11</v>
      </c>
      <c r="E17" t="str">
        <f>問題!E17</f>
        <v>共通</v>
      </c>
      <c r="F17" t="str">
        <f>IF(問題!G17="●","〇","×")</f>
        <v>〇</v>
      </c>
      <c r="G17" t="str">
        <f>IF(問題!I17="●","〇","×")</f>
        <v>×</v>
      </c>
      <c r="H17" t="str">
        <f>IF(問題!K17="●","〇","×")</f>
        <v>×</v>
      </c>
      <c r="I17" t="str">
        <f>IF(問題!M17="●","〇","×")</f>
        <v>×</v>
      </c>
      <c r="J17" t="str">
        <f>IF(問題!O17="●","〇","×")</f>
        <v>×</v>
      </c>
    </row>
    <row r="18" spans="1:10">
      <c r="A18" t="str">
        <f>問題!A81</f>
        <v>01本部長支援</v>
      </c>
      <c r="B18" t="str">
        <f>問題!B81</f>
        <v>シーン3</v>
      </c>
      <c r="C18">
        <f>問題!C81</f>
        <v>1</v>
      </c>
      <c r="D18" t="str">
        <f>問題!D81</f>
        <v>共通12</v>
      </c>
      <c r="E18" t="str">
        <f>問題!E81</f>
        <v>共通</v>
      </c>
      <c r="F18" t="str">
        <f>IF(問題!G81="●","〇","×")</f>
        <v>〇</v>
      </c>
      <c r="G18" t="str">
        <f>IF(問題!I81="●","〇","×")</f>
        <v>×</v>
      </c>
      <c r="H18" t="str">
        <f>IF(問題!K81="●","〇","×")</f>
        <v>×</v>
      </c>
      <c r="I18" t="str">
        <f>IF(問題!M81="●","〇","×")</f>
        <v>×</v>
      </c>
      <c r="J18" t="str">
        <f>IF(問題!O81="●","〇","×")</f>
        <v>〇</v>
      </c>
    </row>
    <row r="19" spans="1:10">
      <c r="A19" t="str">
        <f>問題!A82</f>
        <v>01本部長支援</v>
      </c>
      <c r="B19" t="str">
        <f>問題!B82</f>
        <v>シーン3</v>
      </c>
      <c r="C19">
        <f>問題!C82</f>
        <v>2</v>
      </c>
      <c r="D19" t="str">
        <f>問題!D82</f>
        <v>個別</v>
      </c>
      <c r="E19" t="str">
        <f>問題!E82</f>
        <v>個別</v>
      </c>
      <c r="F19" t="str">
        <f>IF(問題!G82="●","〇","×")</f>
        <v>×</v>
      </c>
      <c r="G19" t="str">
        <f>IF(問題!I82="●","〇","×")</f>
        <v>×</v>
      </c>
      <c r="H19" t="str">
        <f>IF(問題!K82="●","〇","×")</f>
        <v>〇</v>
      </c>
      <c r="I19" t="str">
        <f>IF(問題!M82="●","〇","×")</f>
        <v>〇</v>
      </c>
      <c r="J19" t="str">
        <f>IF(問題!O82="●","〇","×")</f>
        <v>〇</v>
      </c>
    </row>
    <row r="20" spans="1:10">
      <c r="A20" t="str">
        <f>問題!A83</f>
        <v>01本部長支援</v>
      </c>
      <c r="B20" t="str">
        <f>問題!B83</f>
        <v>シーン3</v>
      </c>
      <c r="C20">
        <f>問題!C83</f>
        <v>3</v>
      </c>
      <c r="D20" t="str">
        <f>問題!D83</f>
        <v>個別</v>
      </c>
      <c r="E20" t="str">
        <f>問題!E83</f>
        <v>個別</v>
      </c>
      <c r="F20" t="str">
        <f>IF(問題!G83="●","〇","×")</f>
        <v>×</v>
      </c>
      <c r="G20" t="str">
        <f>IF(問題!I83="●","〇","×")</f>
        <v>〇</v>
      </c>
      <c r="H20" t="str">
        <f>IF(問題!K83="●","〇","×")</f>
        <v>×</v>
      </c>
      <c r="I20" t="str">
        <f>IF(問題!M83="●","〇","×")</f>
        <v>×</v>
      </c>
      <c r="J20" t="str">
        <f>IF(問題!O83="●","〇","×")</f>
        <v>〇</v>
      </c>
    </row>
    <row r="21" spans="1:10">
      <c r="A21" t="str">
        <f>問題!A84</f>
        <v>01本部長支援</v>
      </c>
      <c r="B21" t="str">
        <f>問題!B84</f>
        <v>シーン3</v>
      </c>
      <c r="C21">
        <f>問題!C84</f>
        <v>4</v>
      </c>
      <c r="D21" t="str">
        <f>問題!D84</f>
        <v>共通13</v>
      </c>
      <c r="E21" t="str">
        <f>問題!E84</f>
        <v>共通</v>
      </c>
      <c r="F21" t="str">
        <f>IF(問題!G84="●","〇","×")</f>
        <v>〇</v>
      </c>
      <c r="G21" t="str">
        <f>IF(問題!I84="●","〇","×")</f>
        <v>〇</v>
      </c>
      <c r="H21" t="str">
        <f>IF(問題!K84="●","〇","×")</f>
        <v>×</v>
      </c>
      <c r="I21" t="str">
        <f>IF(問題!M84="●","〇","×")</f>
        <v>×</v>
      </c>
      <c r="J21" t="str">
        <f>IF(問題!O84="●","〇","×")</f>
        <v>〇</v>
      </c>
    </row>
    <row r="22" spans="1:10">
      <c r="A22" t="str">
        <f>問題!A85</f>
        <v>01本部長支援</v>
      </c>
      <c r="B22" t="str">
        <f>問題!B85</f>
        <v>シーン3</v>
      </c>
      <c r="C22">
        <f>問題!C85</f>
        <v>5</v>
      </c>
      <c r="D22" t="str">
        <f>問題!D85</f>
        <v>個別</v>
      </c>
      <c r="E22" t="str">
        <f>問題!E85</f>
        <v>個別</v>
      </c>
      <c r="F22" t="str">
        <f>IF(問題!G85="●","〇","×")</f>
        <v>〇</v>
      </c>
      <c r="G22" t="str">
        <f>IF(問題!I85="●","〇","×")</f>
        <v>×</v>
      </c>
      <c r="H22" t="str">
        <f>IF(問題!K85="●","〇","×")</f>
        <v>×</v>
      </c>
      <c r="I22" t="str">
        <f>IF(問題!M85="●","〇","×")</f>
        <v>×</v>
      </c>
      <c r="J22" t="str">
        <f>IF(問題!O85="●","〇","×")</f>
        <v>×</v>
      </c>
    </row>
    <row r="23" spans="1:10">
      <c r="A23" t="str">
        <f>問題!A86</f>
        <v>01本部長支援</v>
      </c>
      <c r="B23" t="str">
        <f>問題!B86</f>
        <v>シーン3</v>
      </c>
      <c r="C23">
        <f>問題!C86</f>
        <v>6</v>
      </c>
      <c r="D23" t="str">
        <f>問題!D86</f>
        <v>個別</v>
      </c>
      <c r="E23" t="str">
        <f>問題!E86</f>
        <v>個別</v>
      </c>
      <c r="F23" t="str">
        <f>IF(問題!G86="●","〇","×")</f>
        <v>〇</v>
      </c>
      <c r="G23" t="str">
        <f>IF(問題!I86="●","〇","×")</f>
        <v>〇</v>
      </c>
      <c r="H23" t="str">
        <f>IF(問題!K86="●","〇","×")</f>
        <v>×</v>
      </c>
      <c r="I23" t="str">
        <f>IF(問題!M86="●","〇","×")</f>
        <v>×</v>
      </c>
      <c r="J23" t="str">
        <f>IF(問題!O86="●","〇","×")</f>
        <v>×</v>
      </c>
    </row>
    <row r="24" spans="1:10">
      <c r="A24" t="str">
        <f>問題!A87</f>
        <v>01本部長支援</v>
      </c>
      <c r="B24" t="str">
        <f>問題!B87</f>
        <v>シーン3</v>
      </c>
      <c r="C24">
        <f>問題!C87</f>
        <v>7</v>
      </c>
      <c r="D24" t="str">
        <f>問題!D87</f>
        <v>共通14</v>
      </c>
      <c r="E24" t="str">
        <f>問題!E87</f>
        <v>共通</v>
      </c>
      <c r="F24" t="str">
        <f>IF(問題!G87="●","〇","×")</f>
        <v>×</v>
      </c>
      <c r="G24" t="str">
        <f>IF(問題!I87="●","〇","×")</f>
        <v>×</v>
      </c>
      <c r="H24" t="str">
        <f>IF(問題!K87="●","〇","×")</f>
        <v>〇</v>
      </c>
      <c r="I24" t="str">
        <f>IF(問題!M87="●","〇","×")</f>
        <v>〇</v>
      </c>
      <c r="J24" t="str">
        <f>IF(問題!O87="●","〇","×")</f>
        <v>〇</v>
      </c>
    </row>
    <row r="25" spans="1:10">
      <c r="A25" s="63" t="s">
        <v>357</v>
      </c>
      <c r="B25" s="63"/>
      <c r="C25" s="63"/>
      <c r="D25" s="63"/>
      <c r="E25" s="63" t="s">
        <v>367</v>
      </c>
      <c r="F25" s="63">
        <f>COUNTIF(F3:F24,"〇")</f>
        <v>10</v>
      </c>
      <c r="G25" s="63">
        <f>COUNTIF(G3:G24,"〇")</f>
        <v>12</v>
      </c>
      <c r="H25" s="63">
        <f>COUNTIF(H3:H24,"〇")</f>
        <v>6</v>
      </c>
      <c r="I25" s="63">
        <f>COUNTIF(I3:I24,"〇")</f>
        <v>7</v>
      </c>
      <c r="J25" s="63">
        <f>COUNTIF(J3:J24,"〇")</f>
        <v>12</v>
      </c>
    </row>
    <row r="27" spans="1:10" ht="19.899999999999999">
      <c r="A27" s="68" t="s">
        <v>368</v>
      </c>
      <c r="B27" s="68"/>
      <c r="C27" s="68"/>
      <c r="D27" s="68"/>
      <c r="E27" s="68"/>
      <c r="F27" s="68"/>
      <c r="G27" s="68"/>
      <c r="H27" s="68"/>
      <c r="I27" s="68"/>
      <c r="J27" s="68"/>
    </row>
    <row r="28" spans="1:10">
      <c r="A28" s="62" t="s">
        <v>358</v>
      </c>
      <c r="B28" s="62" t="s">
        <v>331</v>
      </c>
      <c r="C28" s="62" t="s">
        <v>360</v>
      </c>
      <c r="D28" s="62" t="s">
        <v>361</v>
      </c>
      <c r="E28" s="62" t="s">
        <v>362</v>
      </c>
      <c r="F28" s="62" t="s">
        <v>333</v>
      </c>
      <c r="G28" s="62" t="s">
        <v>363</v>
      </c>
      <c r="H28" s="62" t="s">
        <v>364</v>
      </c>
      <c r="I28" s="62" t="s">
        <v>365</v>
      </c>
      <c r="J28" s="62" t="s">
        <v>366</v>
      </c>
    </row>
    <row r="29" spans="1:10">
      <c r="A29" t="str">
        <f>問題!A3</f>
        <v>00全班共通</v>
      </c>
      <c r="B29" t="str">
        <f>問題!B3</f>
        <v>シーン1</v>
      </c>
      <c r="C29">
        <f>問題!C3</f>
        <v>1</v>
      </c>
      <c r="D29" t="str">
        <f>問題!D3</f>
        <v>共通01</v>
      </c>
      <c r="E29" t="str">
        <f>問題!E3</f>
        <v>共通</v>
      </c>
      <c r="F29" t="str">
        <f>IF(問題!G3="●","〇","×")</f>
        <v>×</v>
      </c>
      <c r="G29" t="str">
        <f>IF(問題!I3="●","〇","×")</f>
        <v>〇</v>
      </c>
      <c r="H29" t="str">
        <f>IF(問題!K3="●","〇","×")</f>
        <v>×</v>
      </c>
      <c r="I29" t="str">
        <f>IF(問題!M3="●","〇","×")</f>
        <v>〇</v>
      </c>
      <c r="J29" t="str">
        <f>IF(問題!O3="●","〇","×")</f>
        <v>〇</v>
      </c>
    </row>
    <row r="30" spans="1:10">
      <c r="A30" t="str">
        <f>問題!A4</f>
        <v>00全班共通</v>
      </c>
      <c r="B30" t="str">
        <f>問題!B4</f>
        <v>シーン1</v>
      </c>
      <c r="C30">
        <f>問題!C4</f>
        <v>2</v>
      </c>
      <c r="D30" t="str">
        <f>問題!D4</f>
        <v>共通02</v>
      </c>
      <c r="E30" t="str">
        <f>問題!E4</f>
        <v>共通</v>
      </c>
      <c r="F30" t="str">
        <f>IF(問題!G4="●","〇","×")</f>
        <v>×</v>
      </c>
      <c r="G30" t="str">
        <f>IF(問題!I4="●","〇","×")</f>
        <v>〇</v>
      </c>
      <c r="H30" t="str">
        <f>IF(問題!K4="●","〇","×")</f>
        <v>×</v>
      </c>
      <c r="I30" t="str">
        <f>IF(問題!M4="●","〇","×")</f>
        <v>×</v>
      </c>
      <c r="J30" t="str">
        <f>IF(問題!O4="●","〇","×")</f>
        <v>×</v>
      </c>
    </row>
    <row r="31" spans="1:10">
      <c r="A31" t="str">
        <f>問題!A5</f>
        <v>00全班共通</v>
      </c>
      <c r="B31" t="str">
        <f>問題!B5</f>
        <v>シーン1</v>
      </c>
      <c r="C31">
        <f>問題!C5</f>
        <v>3</v>
      </c>
      <c r="D31" t="str">
        <f>問題!D5</f>
        <v>共通03</v>
      </c>
      <c r="E31" t="str">
        <f>問題!E5</f>
        <v>共通</v>
      </c>
      <c r="F31" t="str">
        <f>IF(問題!G5="●","〇","×")</f>
        <v>×</v>
      </c>
      <c r="G31" t="str">
        <f>IF(問題!I5="●","〇","×")</f>
        <v>×</v>
      </c>
      <c r="H31" t="str">
        <f>IF(問題!K5="●","〇","×")</f>
        <v>〇</v>
      </c>
      <c r="I31" t="str">
        <f>IF(問題!M5="●","〇","×")</f>
        <v>×</v>
      </c>
      <c r="J31" t="str">
        <f>IF(問題!O5="●","〇","×")</f>
        <v>×</v>
      </c>
    </row>
    <row r="32" spans="1:10">
      <c r="A32" t="str">
        <f>問題!A6</f>
        <v>00全班共通</v>
      </c>
      <c r="B32" t="str">
        <f>問題!B6</f>
        <v>シーン1</v>
      </c>
      <c r="C32">
        <f>問題!C6</f>
        <v>4</v>
      </c>
      <c r="D32" t="str">
        <f>問題!D6</f>
        <v>共通04</v>
      </c>
      <c r="E32" t="str">
        <f>問題!E6</f>
        <v>共通</v>
      </c>
      <c r="F32" t="str">
        <f>IF(問題!G6="●","〇","×")</f>
        <v>×</v>
      </c>
      <c r="G32" t="str">
        <f>IF(問題!I6="●","〇","×")</f>
        <v>〇</v>
      </c>
      <c r="H32" t="str">
        <f>IF(問題!K6="●","〇","×")</f>
        <v>×</v>
      </c>
      <c r="I32" t="str">
        <f>IF(問題!M6="●","〇","×")</f>
        <v>×</v>
      </c>
      <c r="J32" t="str">
        <f>IF(問題!O6="●","〇","×")</f>
        <v>〇</v>
      </c>
    </row>
    <row r="33" spans="1:10">
      <c r="A33" t="str">
        <f>問題!A7</f>
        <v>00全班共通</v>
      </c>
      <c r="B33" t="str">
        <f>問題!B7</f>
        <v>シーン1</v>
      </c>
      <c r="C33">
        <f>問題!C7</f>
        <v>5</v>
      </c>
      <c r="D33" t="str">
        <f>問題!D7</f>
        <v>共通05</v>
      </c>
      <c r="E33" t="str">
        <f>問題!E7</f>
        <v>共通</v>
      </c>
      <c r="F33" t="str">
        <f>IF(問題!G7="●","〇","×")</f>
        <v>×</v>
      </c>
      <c r="G33" t="str">
        <f>IF(問題!I7="●","〇","×")</f>
        <v>×</v>
      </c>
      <c r="H33" t="str">
        <f>IF(問題!K7="●","〇","×")</f>
        <v>×</v>
      </c>
      <c r="I33" t="str">
        <f>IF(問題!M7="●","〇","×")</f>
        <v>〇</v>
      </c>
      <c r="J33" t="str">
        <f>IF(問題!O7="●","〇","×")</f>
        <v>〇</v>
      </c>
    </row>
    <row r="34" spans="1:10">
      <c r="A34" t="str">
        <f>問題!A8</f>
        <v>00全班共通</v>
      </c>
      <c r="B34" t="str">
        <f>問題!B8</f>
        <v>シーン1</v>
      </c>
      <c r="C34">
        <f>問題!C8</f>
        <v>6</v>
      </c>
      <c r="D34" t="str">
        <f>問題!D8</f>
        <v>共通06</v>
      </c>
      <c r="E34" t="str">
        <f>問題!E8</f>
        <v>共通</v>
      </c>
      <c r="F34" t="str">
        <f>IF(問題!G8="●","〇","×")</f>
        <v>×</v>
      </c>
      <c r="G34" t="str">
        <f>IF(問題!I8="●","〇","×")</f>
        <v>〇</v>
      </c>
      <c r="H34" t="str">
        <f>IF(問題!K8="●","〇","×")</f>
        <v>〇</v>
      </c>
      <c r="I34" t="str">
        <f>IF(問題!M8="●","〇","×")</f>
        <v>〇</v>
      </c>
      <c r="J34" t="str">
        <f>IF(問題!O8="●","〇","×")</f>
        <v>×</v>
      </c>
    </row>
    <row r="35" spans="1:10">
      <c r="A35" t="str">
        <f>問題!A9</f>
        <v>00全班共通</v>
      </c>
      <c r="B35" t="str">
        <f>問題!B9</f>
        <v>シーン1</v>
      </c>
      <c r="C35">
        <f>問題!C9</f>
        <v>7</v>
      </c>
      <c r="D35" t="str">
        <f>問題!D9</f>
        <v>共通07</v>
      </c>
      <c r="E35" t="str">
        <f>問題!E9</f>
        <v>共通</v>
      </c>
      <c r="F35" t="str">
        <f>IF(問題!G9="●","〇","×")</f>
        <v>×</v>
      </c>
      <c r="G35" t="str">
        <f>IF(問題!I9="●","〇","×")</f>
        <v>〇</v>
      </c>
      <c r="H35" t="str">
        <f>IF(問題!K9="●","〇","×")</f>
        <v>×</v>
      </c>
      <c r="I35" t="str">
        <f>IF(問題!M9="●","〇","×")</f>
        <v>×</v>
      </c>
      <c r="J35" t="str">
        <f>IF(問題!O9="●","〇","×")</f>
        <v>〇</v>
      </c>
    </row>
    <row r="36" spans="1:10">
      <c r="A36" t="str">
        <f>問題!A10</f>
        <v>00全班共通</v>
      </c>
      <c r="B36" t="str">
        <f>問題!B10</f>
        <v>シーン1</v>
      </c>
      <c r="C36">
        <f>問題!C10</f>
        <v>8</v>
      </c>
      <c r="D36" t="str">
        <f>問題!D10</f>
        <v>共通08</v>
      </c>
      <c r="E36" t="str">
        <f>問題!E10</f>
        <v>共通</v>
      </c>
      <c r="F36" t="str">
        <f>IF(問題!G10="●","〇","×")</f>
        <v>×</v>
      </c>
      <c r="G36" t="str">
        <f>IF(問題!I10="●","〇","×")</f>
        <v>〇</v>
      </c>
      <c r="H36" t="str">
        <f>IF(問題!K10="●","〇","×")</f>
        <v>〇</v>
      </c>
      <c r="I36" t="str">
        <f>IF(問題!M10="●","〇","×")</f>
        <v>〇</v>
      </c>
      <c r="J36" t="str">
        <f>IF(問題!O10="●","〇","×")</f>
        <v>×</v>
      </c>
    </row>
    <row r="37" spans="1:10">
      <c r="A37" t="str">
        <f>問題!A18</f>
        <v>02広報</v>
      </c>
      <c r="B37" t="str">
        <f>問題!B18</f>
        <v>シーン2</v>
      </c>
      <c r="C37">
        <f>問題!C18</f>
        <v>1</v>
      </c>
      <c r="D37" t="str">
        <f>問題!D18</f>
        <v>共通09</v>
      </c>
      <c r="E37" t="str">
        <f>問題!E18</f>
        <v>共通</v>
      </c>
      <c r="F37" t="str">
        <f>IF(問題!G18="●","〇","×")</f>
        <v>〇</v>
      </c>
      <c r="G37" t="str">
        <f>IF(問題!I18="●","〇","×")</f>
        <v>〇</v>
      </c>
      <c r="H37" t="str">
        <f>IF(問題!K18="●","〇","×")</f>
        <v>×</v>
      </c>
      <c r="I37" t="str">
        <f>IF(問題!M18="●","〇","×")</f>
        <v>×</v>
      </c>
      <c r="J37" t="str">
        <f>IF(問題!O18="●","〇","×")</f>
        <v>×</v>
      </c>
    </row>
    <row r="38" spans="1:10">
      <c r="A38" t="str">
        <f>問題!A19</f>
        <v>02広報</v>
      </c>
      <c r="B38" t="str">
        <f>問題!B19</f>
        <v>シーン2</v>
      </c>
      <c r="C38">
        <f>問題!C19</f>
        <v>2</v>
      </c>
      <c r="D38" t="str">
        <f>問題!D19</f>
        <v>共通10</v>
      </c>
      <c r="E38" t="str">
        <f>問題!E19</f>
        <v>共通</v>
      </c>
      <c r="F38" t="str">
        <f>IF(問題!G19="●","〇","×")</f>
        <v>〇</v>
      </c>
      <c r="G38" t="str">
        <f>IF(問題!I19="●","〇","×")</f>
        <v>×</v>
      </c>
      <c r="H38" t="str">
        <f>IF(問題!K19="●","〇","×")</f>
        <v>×</v>
      </c>
      <c r="I38" t="str">
        <f>IF(問題!M19="●","〇","×")</f>
        <v>×</v>
      </c>
      <c r="J38" t="str">
        <f>IF(問題!O19="●","〇","×")</f>
        <v>〇</v>
      </c>
    </row>
    <row r="39" spans="1:10">
      <c r="A39" t="str">
        <f>問題!A20</f>
        <v>02広報</v>
      </c>
      <c r="B39" t="str">
        <f>問題!B20</f>
        <v>シーン2</v>
      </c>
      <c r="C39">
        <f>問題!C20</f>
        <v>3</v>
      </c>
      <c r="D39" t="str">
        <f>問題!D20</f>
        <v>個別</v>
      </c>
      <c r="E39" t="str">
        <f>問題!E20</f>
        <v>個別</v>
      </c>
      <c r="F39" t="str">
        <f>IF(問題!G20="●","〇","×")</f>
        <v>×</v>
      </c>
      <c r="G39" t="str">
        <f>IF(問題!I20="●","〇","×")</f>
        <v>〇</v>
      </c>
      <c r="H39" t="str">
        <f>IF(問題!K20="●","〇","×")</f>
        <v>×</v>
      </c>
      <c r="I39" t="str">
        <f>IF(問題!M20="●","〇","×")</f>
        <v>×</v>
      </c>
      <c r="J39" t="str">
        <f>IF(問題!O20="●","〇","×")</f>
        <v>〇</v>
      </c>
    </row>
    <row r="40" spans="1:10">
      <c r="A40" t="str">
        <f>問題!A21</f>
        <v>02広報</v>
      </c>
      <c r="B40" t="str">
        <f>問題!B21</f>
        <v>シーン2</v>
      </c>
      <c r="C40">
        <f>問題!C21</f>
        <v>4</v>
      </c>
      <c r="D40" t="str">
        <f>問題!D21</f>
        <v>個別</v>
      </c>
      <c r="E40" t="str">
        <f>問題!E21</f>
        <v>個別</v>
      </c>
      <c r="F40" t="str">
        <f>IF(問題!G21="●","〇","×")</f>
        <v>〇</v>
      </c>
      <c r="G40" t="str">
        <f>IF(問題!I21="●","〇","×")</f>
        <v>〇</v>
      </c>
      <c r="H40" t="str">
        <f>IF(問題!K21="●","〇","×")</f>
        <v>×</v>
      </c>
      <c r="I40" t="str">
        <f>IF(問題!M21="●","〇","×")</f>
        <v>×</v>
      </c>
      <c r="J40" t="str">
        <f>IF(問題!O21="●","〇","×")</f>
        <v>×</v>
      </c>
    </row>
    <row r="41" spans="1:10">
      <c r="A41" t="str">
        <f>問題!A22</f>
        <v>02広報</v>
      </c>
      <c r="B41" t="str">
        <f>問題!B22</f>
        <v>シーン2</v>
      </c>
      <c r="C41">
        <f>問題!C22</f>
        <v>5</v>
      </c>
      <c r="D41" t="str">
        <f>問題!D22</f>
        <v>個別</v>
      </c>
      <c r="E41" t="str">
        <f>問題!E22</f>
        <v>個別</v>
      </c>
      <c r="F41" t="str">
        <f>IF(問題!G22="●","〇","×")</f>
        <v>×</v>
      </c>
      <c r="G41" t="str">
        <f>IF(問題!I22="●","〇","×")</f>
        <v>×</v>
      </c>
      <c r="H41" t="str">
        <f>IF(問題!K22="●","〇","×")</f>
        <v>×</v>
      </c>
      <c r="I41" t="str">
        <f>IF(問題!M22="●","〇","×")</f>
        <v>×</v>
      </c>
      <c r="J41" t="str">
        <f>IF(問題!O22="●","〇","×")</f>
        <v>〇</v>
      </c>
    </row>
    <row r="42" spans="1:10">
      <c r="A42" t="str">
        <f>問題!A23</f>
        <v>02広報</v>
      </c>
      <c r="B42" t="str">
        <f>問題!B23</f>
        <v>シーン2</v>
      </c>
      <c r="C42">
        <f>問題!C23</f>
        <v>6</v>
      </c>
      <c r="D42" t="str">
        <f>問題!D23</f>
        <v>個別</v>
      </c>
      <c r="E42" t="str">
        <f>問題!E23</f>
        <v>個別</v>
      </c>
      <c r="F42" t="str">
        <f>IF(問題!G23="●","〇","×")</f>
        <v>×</v>
      </c>
      <c r="G42" t="str">
        <f>IF(問題!I23="●","〇","×")</f>
        <v>×</v>
      </c>
      <c r="H42" t="str">
        <f>IF(問題!K23="●","〇","×")</f>
        <v>〇</v>
      </c>
      <c r="I42" t="str">
        <f>IF(問題!M23="●","〇","×")</f>
        <v>〇</v>
      </c>
      <c r="J42" t="str">
        <f>IF(問題!O23="●","〇","×")</f>
        <v>×</v>
      </c>
    </row>
    <row r="43" spans="1:10">
      <c r="A43" t="str">
        <f>問題!A24</f>
        <v>02広報</v>
      </c>
      <c r="B43" t="str">
        <f>問題!B24</f>
        <v>シーン2</v>
      </c>
      <c r="C43">
        <f>問題!C24</f>
        <v>7</v>
      </c>
      <c r="D43" t="str">
        <f>問題!D24</f>
        <v>共通11</v>
      </c>
      <c r="E43" t="str">
        <f>問題!E24</f>
        <v>共通</v>
      </c>
      <c r="F43" t="str">
        <f>IF(問題!G24="●","〇","×")</f>
        <v>〇</v>
      </c>
      <c r="G43" t="str">
        <f>IF(問題!I24="●","〇","×")</f>
        <v>×</v>
      </c>
      <c r="H43" t="str">
        <f>IF(問題!K24="●","〇","×")</f>
        <v>×</v>
      </c>
      <c r="I43" t="str">
        <f>IF(問題!M24="●","〇","×")</f>
        <v>×</v>
      </c>
      <c r="J43" t="str">
        <f>IF(問題!O24="●","〇","×")</f>
        <v>×</v>
      </c>
    </row>
    <row r="44" spans="1:10">
      <c r="A44" t="str">
        <f>問題!A88</f>
        <v>02広報</v>
      </c>
      <c r="B44" t="str">
        <f>問題!B88</f>
        <v>シーン3</v>
      </c>
      <c r="C44">
        <f>問題!C88</f>
        <v>1</v>
      </c>
      <c r="D44" t="str">
        <f>問題!D88</f>
        <v>共通12</v>
      </c>
      <c r="E44" t="str">
        <f>問題!E88</f>
        <v>共通</v>
      </c>
      <c r="F44" t="str">
        <f>IF(問題!G88="●","〇","×")</f>
        <v>〇</v>
      </c>
      <c r="G44" t="str">
        <f>IF(問題!I88="●","〇","×")</f>
        <v>×</v>
      </c>
      <c r="H44" t="str">
        <f>IF(問題!K88="●","〇","×")</f>
        <v>×</v>
      </c>
      <c r="I44" t="str">
        <f>IF(問題!M88="●","〇","×")</f>
        <v>×</v>
      </c>
      <c r="J44" t="str">
        <f>IF(問題!O88="●","〇","×")</f>
        <v>〇</v>
      </c>
    </row>
    <row r="45" spans="1:10">
      <c r="A45" t="str">
        <f>問題!A89</f>
        <v>02広報</v>
      </c>
      <c r="B45" t="str">
        <f>問題!B89</f>
        <v>シーン3</v>
      </c>
      <c r="C45">
        <f>問題!C89</f>
        <v>2</v>
      </c>
      <c r="D45" t="str">
        <f>問題!D89</f>
        <v>共通13</v>
      </c>
      <c r="E45" t="str">
        <f>問題!E89</f>
        <v>共通</v>
      </c>
      <c r="F45" t="str">
        <f>IF(問題!G89="●","〇","×")</f>
        <v>〇</v>
      </c>
      <c r="G45" t="str">
        <f>IF(問題!I89="●","〇","×")</f>
        <v>〇</v>
      </c>
      <c r="H45" t="str">
        <f>IF(問題!K89="●","〇","×")</f>
        <v>×</v>
      </c>
      <c r="I45" t="str">
        <f>IF(問題!M89="●","〇","×")</f>
        <v>×</v>
      </c>
      <c r="J45" t="str">
        <f>IF(問題!O89="●","〇","×")</f>
        <v>〇</v>
      </c>
    </row>
    <row r="46" spans="1:10">
      <c r="A46" t="str">
        <f>問題!A90</f>
        <v>02広報</v>
      </c>
      <c r="B46" t="str">
        <f>問題!B90</f>
        <v>シーン3</v>
      </c>
      <c r="C46">
        <f>問題!C90</f>
        <v>3</v>
      </c>
      <c r="D46" t="str">
        <f>問題!D90</f>
        <v>個別</v>
      </c>
      <c r="E46" t="str">
        <f>問題!E90</f>
        <v>個別</v>
      </c>
      <c r="F46" t="str">
        <f>IF(問題!G90="●","〇","×")</f>
        <v>〇</v>
      </c>
      <c r="G46" t="str">
        <f>IF(問題!I90="●","〇","×")</f>
        <v>×</v>
      </c>
      <c r="H46" t="str">
        <f>IF(問題!K90="●","〇","×")</f>
        <v>×</v>
      </c>
      <c r="I46" t="str">
        <f>IF(問題!M90="●","〇","×")</f>
        <v>×</v>
      </c>
      <c r="J46" t="str">
        <f>IF(問題!O90="●","〇","×")</f>
        <v>×</v>
      </c>
    </row>
    <row r="47" spans="1:10">
      <c r="A47" t="str">
        <f>問題!A91</f>
        <v>02広報</v>
      </c>
      <c r="B47" t="str">
        <f>問題!B91</f>
        <v>シーン3</v>
      </c>
      <c r="C47">
        <f>問題!C91</f>
        <v>4</v>
      </c>
      <c r="D47" t="str">
        <f>問題!D91</f>
        <v>個別</v>
      </c>
      <c r="E47" t="str">
        <f>問題!E91</f>
        <v>個別</v>
      </c>
      <c r="F47" t="str">
        <f>IF(問題!G91="●","〇","×")</f>
        <v>〇</v>
      </c>
      <c r="G47" t="str">
        <f>IF(問題!I91="●","〇","×")</f>
        <v>×</v>
      </c>
      <c r="H47" t="str">
        <f>IF(問題!K91="●","〇","×")</f>
        <v>×</v>
      </c>
      <c r="I47" t="str">
        <f>IF(問題!M91="●","〇","×")</f>
        <v>×</v>
      </c>
      <c r="J47" t="str">
        <f>IF(問題!O91="●","〇","×")</f>
        <v>〇</v>
      </c>
    </row>
    <row r="48" spans="1:10">
      <c r="A48" t="str">
        <f>問題!A92</f>
        <v>02広報</v>
      </c>
      <c r="B48" t="str">
        <f>問題!B92</f>
        <v>シーン3</v>
      </c>
      <c r="C48">
        <f>問題!C92</f>
        <v>5</v>
      </c>
      <c r="D48" t="str">
        <f>問題!D92</f>
        <v>個別</v>
      </c>
      <c r="E48" t="str">
        <f>問題!E92</f>
        <v>個別</v>
      </c>
      <c r="F48" t="str">
        <f>IF(問題!G92="●","〇","×")</f>
        <v>×</v>
      </c>
      <c r="G48" t="str">
        <f>IF(問題!I92="●","〇","×")</f>
        <v>×</v>
      </c>
      <c r="H48" t="str">
        <f>IF(問題!K92="●","〇","×")</f>
        <v>〇</v>
      </c>
      <c r="I48" t="str">
        <f>IF(問題!M92="●","〇","×")</f>
        <v>×</v>
      </c>
      <c r="J48" t="str">
        <f>IF(問題!O92="●","〇","×")</f>
        <v>〇</v>
      </c>
    </row>
    <row r="49" spans="1:10">
      <c r="A49" t="str">
        <f>問題!A93</f>
        <v>02広報</v>
      </c>
      <c r="B49" t="str">
        <f>問題!B93</f>
        <v>シーン3</v>
      </c>
      <c r="C49">
        <f>問題!C93</f>
        <v>6</v>
      </c>
      <c r="D49" t="str">
        <f>問題!D93</f>
        <v>個別</v>
      </c>
      <c r="E49" t="str">
        <f>問題!E93</f>
        <v>個別</v>
      </c>
      <c r="F49" t="str">
        <f>IF(問題!G93="●","〇","×")</f>
        <v>〇</v>
      </c>
      <c r="G49" t="str">
        <f>IF(問題!I93="●","〇","×")</f>
        <v>×</v>
      </c>
      <c r="H49" t="str">
        <f>IF(問題!K93="●","〇","×")</f>
        <v>×</v>
      </c>
      <c r="I49" t="str">
        <f>IF(問題!M93="●","〇","×")</f>
        <v>×</v>
      </c>
      <c r="J49" t="str">
        <f>IF(問題!O93="●","〇","×")</f>
        <v>〇</v>
      </c>
    </row>
    <row r="50" spans="1:10">
      <c r="A50" t="str">
        <f>問題!A94</f>
        <v>02広報</v>
      </c>
      <c r="B50" t="str">
        <f>問題!B94</f>
        <v>シーン3</v>
      </c>
      <c r="C50">
        <f>問題!C94</f>
        <v>7</v>
      </c>
      <c r="D50" t="str">
        <f>問題!D94</f>
        <v>共通14</v>
      </c>
      <c r="E50" t="str">
        <f>問題!E94</f>
        <v>共通</v>
      </c>
      <c r="F50" t="str">
        <f>IF(問題!G94="●","〇","×")</f>
        <v>×</v>
      </c>
      <c r="G50" t="str">
        <f>IF(問題!I94="●","〇","×")</f>
        <v>×</v>
      </c>
      <c r="H50" t="str">
        <f>IF(問題!K94="●","〇","×")</f>
        <v>〇</v>
      </c>
      <c r="I50" t="str">
        <f>IF(問題!M94="●","〇","×")</f>
        <v>〇</v>
      </c>
      <c r="J50" t="str">
        <f>IF(問題!O94="●","〇","×")</f>
        <v>〇</v>
      </c>
    </row>
    <row r="51" spans="1:10">
      <c r="A51" s="63" t="s">
        <v>357</v>
      </c>
      <c r="B51" s="63"/>
      <c r="C51" s="63"/>
      <c r="D51" s="63"/>
      <c r="E51" s="63" t="s">
        <v>367</v>
      </c>
      <c r="F51" s="63">
        <f>COUNTIF(F29:F50,"〇")</f>
        <v>9</v>
      </c>
      <c r="G51" s="63">
        <f>COUNTIF(G29:G50,"〇")</f>
        <v>10</v>
      </c>
      <c r="H51" s="63">
        <f>COUNTIF(H29:H50,"〇")</f>
        <v>6</v>
      </c>
      <c r="I51" s="63">
        <f>COUNTIF(I29:I50,"〇")</f>
        <v>6</v>
      </c>
      <c r="J51" s="63">
        <f>COUNTIF(J29:J50,"〇")</f>
        <v>13</v>
      </c>
    </row>
    <row r="53" spans="1:10" ht="19.899999999999999">
      <c r="A53" s="68" t="s">
        <v>369</v>
      </c>
      <c r="B53" s="68"/>
      <c r="C53" s="68"/>
      <c r="D53" s="68"/>
      <c r="E53" s="68"/>
      <c r="F53" s="68"/>
      <c r="G53" s="68"/>
      <c r="H53" s="68"/>
      <c r="I53" s="68"/>
      <c r="J53" s="68"/>
    </row>
    <row r="54" spans="1:10">
      <c r="A54" s="62" t="s">
        <v>358</v>
      </c>
      <c r="B54" s="62" t="s">
        <v>331</v>
      </c>
      <c r="C54" s="62" t="s">
        <v>360</v>
      </c>
      <c r="D54" s="62" t="s">
        <v>361</v>
      </c>
      <c r="E54" s="62" t="s">
        <v>362</v>
      </c>
      <c r="F54" s="62" t="s">
        <v>333</v>
      </c>
      <c r="G54" s="62" t="s">
        <v>363</v>
      </c>
      <c r="H54" s="62" t="s">
        <v>364</v>
      </c>
      <c r="I54" s="62" t="s">
        <v>365</v>
      </c>
      <c r="J54" s="62" t="s">
        <v>366</v>
      </c>
    </row>
    <row r="55" spans="1:10">
      <c r="A55" t="str">
        <f>問題!A3</f>
        <v>00全班共通</v>
      </c>
      <c r="B55" t="str">
        <f>問題!B3</f>
        <v>シーン1</v>
      </c>
      <c r="C55">
        <f>問題!C3</f>
        <v>1</v>
      </c>
      <c r="D55" t="str">
        <f>問題!D3</f>
        <v>共通01</v>
      </c>
      <c r="E55" t="str">
        <f>問題!E3</f>
        <v>共通</v>
      </c>
      <c r="F55" t="str">
        <f>IF(問題!G3="●","〇","×")</f>
        <v>×</v>
      </c>
      <c r="G55" t="str">
        <f>IF(問題!I3="●","〇","×")</f>
        <v>〇</v>
      </c>
      <c r="H55" t="str">
        <f>IF(問題!K3="●","〇","×")</f>
        <v>×</v>
      </c>
      <c r="I55" t="str">
        <f>IF(問題!M3="●","〇","×")</f>
        <v>〇</v>
      </c>
      <c r="J55" t="str">
        <f>IF(問題!O3="●","〇","×")</f>
        <v>〇</v>
      </c>
    </row>
    <row r="56" spans="1:10">
      <c r="A56" t="str">
        <f>問題!A4</f>
        <v>00全班共通</v>
      </c>
      <c r="B56" t="str">
        <f>問題!B4</f>
        <v>シーン1</v>
      </c>
      <c r="C56">
        <f>問題!C4</f>
        <v>2</v>
      </c>
      <c r="D56" t="str">
        <f>問題!D4</f>
        <v>共通02</v>
      </c>
      <c r="E56" t="str">
        <f>問題!E4</f>
        <v>共通</v>
      </c>
      <c r="F56" t="str">
        <f>IF(問題!G4="●","〇","×")</f>
        <v>×</v>
      </c>
      <c r="G56" t="str">
        <f>IF(問題!I4="●","〇","×")</f>
        <v>〇</v>
      </c>
      <c r="H56" t="str">
        <f>IF(問題!K4="●","〇","×")</f>
        <v>×</v>
      </c>
      <c r="I56" t="str">
        <f>IF(問題!M4="●","〇","×")</f>
        <v>×</v>
      </c>
      <c r="J56" t="str">
        <f>IF(問題!O4="●","〇","×")</f>
        <v>×</v>
      </c>
    </row>
    <row r="57" spans="1:10">
      <c r="A57" t="str">
        <f>問題!A5</f>
        <v>00全班共通</v>
      </c>
      <c r="B57" t="str">
        <f>問題!B5</f>
        <v>シーン1</v>
      </c>
      <c r="C57">
        <f>問題!C5</f>
        <v>3</v>
      </c>
      <c r="D57" t="str">
        <f>問題!D5</f>
        <v>共通03</v>
      </c>
      <c r="E57" t="str">
        <f>問題!E5</f>
        <v>共通</v>
      </c>
      <c r="F57" t="str">
        <f>IF(問題!G5="●","〇","×")</f>
        <v>×</v>
      </c>
      <c r="G57" t="str">
        <f>IF(問題!I5="●","〇","×")</f>
        <v>×</v>
      </c>
      <c r="H57" t="str">
        <f>IF(問題!K5="●","〇","×")</f>
        <v>〇</v>
      </c>
      <c r="I57" t="str">
        <f>IF(問題!M5="●","〇","×")</f>
        <v>×</v>
      </c>
      <c r="J57" t="str">
        <f>IF(問題!O5="●","〇","×")</f>
        <v>×</v>
      </c>
    </row>
    <row r="58" spans="1:10">
      <c r="A58" t="str">
        <f>問題!A6</f>
        <v>00全班共通</v>
      </c>
      <c r="B58" t="str">
        <f>問題!B6</f>
        <v>シーン1</v>
      </c>
      <c r="C58">
        <f>問題!C6</f>
        <v>4</v>
      </c>
      <c r="D58" t="str">
        <f>問題!D6</f>
        <v>共通04</v>
      </c>
      <c r="E58" t="str">
        <f>問題!E6</f>
        <v>共通</v>
      </c>
      <c r="F58" t="str">
        <f>IF(問題!G6="●","〇","×")</f>
        <v>×</v>
      </c>
      <c r="G58" t="str">
        <f>IF(問題!I6="●","〇","×")</f>
        <v>〇</v>
      </c>
      <c r="H58" t="str">
        <f>IF(問題!K6="●","〇","×")</f>
        <v>×</v>
      </c>
      <c r="I58" t="str">
        <f>IF(問題!M6="●","〇","×")</f>
        <v>×</v>
      </c>
      <c r="J58" t="str">
        <f>IF(問題!O6="●","〇","×")</f>
        <v>〇</v>
      </c>
    </row>
    <row r="59" spans="1:10">
      <c r="A59" t="str">
        <f>問題!A7</f>
        <v>00全班共通</v>
      </c>
      <c r="B59" t="str">
        <f>問題!B7</f>
        <v>シーン1</v>
      </c>
      <c r="C59">
        <f>問題!C7</f>
        <v>5</v>
      </c>
      <c r="D59" t="str">
        <f>問題!D7</f>
        <v>共通05</v>
      </c>
      <c r="E59" t="str">
        <f>問題!E7</f>
        <v>共通</v>
      </c>
      <c r="F59" t="str">
        <f>IF(問題!G7="●","〇","×")</f>
        <v>×</v>
      </c>
      <c r="G59" t="str">
        <f>IF(問題!I7="●","〇","×")</f>
        <v>×</v>
      </c>
      <c r="H59" t="str">
        <f>IF(問題!K7="●","〇","×")</f>
        <v>×</v>
      </c>
      <c r="I59" t="str">
        <f>IF(問題!M7="●","〇","×")</f>
        <v>〇</v>
      </c>
      <c r="J59" t="str">
        <f>IF(問題!O7="●","〇","×")</f>
        <v>〇</v>
      </c>
    </row>
    <row r="60" spans="1:10">
      <c r="A60" t="str">
        <f>問題!A8</f>
        <v>00全班共通</v>
      </c>
      <c r="B60" t="str">
        <f>問題!B8</f>
        <v>シーン1</v>
      </c>
      <c r="C60">
        <f>問題!C8</f>
        <v>6</v>
      </c>
      <c r="D60" t="str">
        <f>問題!D8</f>
        <v>共通06</v>
      </c>
      <c r="E60" t="str">
        <f>問題!E8</f>
        <v>共通</v>
      </c>
      <c r="F60" t="str">
        <f>IF(問題!G8="●","〇","×")</f>
        <v>×</v>
      </c>
      <c r="G60" t="str">
        <f>IF(問題!I8="●","〇","×")</f>
        <v>〇</v>
      </c>
      <c r="H60" t="str">
        <f>IF(問題!K8="●","〇","×")</f>
        <v>〇</v>
      </c>
      <c r="I60" t="str">
        <f>IF(問題!M8="●","〇","×")</f>
        <v>〇</v>
      </c>
      <c r="J60" t="str">
        <f>IF(問題!O8="●","〇","×")</f>
        <v>×</v>
      </c>
    </row>
    <row r="61" spans="1:10">
      <c r="A61" t="str">
        <f>問題!A9</f>
        <v>00全班共通</v>
      </c>
      <c r="B61" t="str">
        <f>問題!B9</f>
        <v>シーン1</v>
      </c>
      <c r="C61">
        <f>問題!C9</f>
        <v>7</v>
      </c>
      <c r="D61" t="str">
        <f>問題!D9</f>
        <v>共通07</v>
      </c>
      <c r="E61" t="str">
        <f>問題!E9</f>
        <v>共通</v>
      </c>
      <c r="F61" t="str">
        <f>IF(問題!G9="●","〇","×")</f>
        <v>×</v>
      </c>
      <c r="G61" t="str">
        <f>IF(問題!I9="●","〇","×")</f>
        <v>〇</v>
      </c>
      <c r="H61" t="str">
        <f>IF(問題!K9="●","〇","×")</f>
        <v>×</v>
      </c>
      <c r="I61" t="str">
        <f>IF(問題!M9="●","〇","×")</f>
        <v>×</v>
      </c>
      <c r="J61" t="str">
        <f>IF(問題!O9="●","〇","×")</f>
        <v>〇</v>
      </c>
    </row>
    <row r="62" spans="1:10">
      <c r="A62" t="str">
        <f>問題!A10</f>
        <v>00全班共通</v>
      </c>
      <c r="B62" t="str">
        <f>問題!B10</f>
        <v>シーン1</v>
      </c>
      <c r="C62">
        <f>問題!C10</f>
        <v>8</v>
      </c>
      <c r="D62" t="str">
        <f>問題!D10</f>
        <v>共通08</v>
      </c>
      <c r="E62" t="str">
        <f>問題!E10</f>
        <v>共通</v>
      </c>
      <c r="F62" t="str">
        <f>IF(問題!G10="●","〇","×")</f>
        <v>×</v>
      </c>
      <c r="G62" t="str">
        <f>IF(問題!I10="●","〇","×")</f>
        <v>〇</v>
      </c>
      <c r="H62" t="str">
        <f>IF(問題!K10="●","〇","×")</f>
        <v>〇</v>
      </c>
      <c r="I62" t="str">
        <f>IF(問題!M10="●","〇","×")</f>
        <v>〇</v>
      </c>
      <c r="J62" t="str">
        <f>IF(問題!O10="●","〇","×")</f>
        <v>×</v>
      </c>
    </row>
    <row r="63" spans="1:10">
      <c r="A63" t="str">
        <f>問題!A25</f>
        <v>03総務</v>
      </c>
      <c r="B63" t="str">
        <f>問題!B25</f>
        <v>シーン2</v>
      </c>
      <c r="C63">
        <f>問題!C25</f>
        <v>1</v>
      </c>
      <c r="D63" t="str">
        <f>問題!D25</f>
        <v>共通09</v>
      </c>
      <c r="E63" t="str">
        <f>問題!E25</f>
        <v>共通</v>
      </c>
      <c r="F63" t="str">
        <f>IF(問題!G25="●","〇","×")</f>
        <v>〇</v>
      </c>
      <c r="G63" t="str">
        <f>IF(問題!I25="●","〇","×")</f>
        <v>〇</v>
      </c>
      <c r="H63" t="str">
        <f>IF(問題!K25="●","〇","×")</f>
        <v>×</v>
      </c>
      <c r="I63" t="str">
        <f>IF(問題!M25="●","〇","×")</f>
        <v>×</v>
      </c>
      <c r="J63" t="str">
        <f>IF(問題!O25="●","〇","×")</f>
        <v>×</v>
      </c>
    </row>
    <row r="64" spans="1:10">
      <c r="A64" t="str">
        <f>問題!A26</f>
        <v>03総務</v>
      </c>
      <c r="B64" t="str">
        <f>問題!B26</f>
        <v>シーン2</v>
      </c>
      <c r="C64">
        <f>問題!C26</f>
        <v>2</v>
      </c>
      <c r="D64" t="str">
        <f>問題!D26</f>
        <v>共通10</v>
      </c>
      <c r="E64" t="str">
        <f>問題!E26</f>
        <v>共通</v>
      </c>
      <c r="F64" t="str">
        <f>IF(問題!G26="●","〇","×")</f>
        <v>〇</v>
      </c>
      <c r="G64" t="str">
        <f>IF(問題!I26="●","〇","×")</f>
        <v>×</v>
      </c>
      <c r="H64" t="str">
        <f>IF(問題!K26="●","〇","×")</f>
        <v>×</v>
      </c>
      <c r="I64" t="str">
        <f>IF(問題!M26="●","〇","×")</f>
        <v>×</v>
      </c>
      <c r="J64" t="str">
        <f>IF(問題!O26="●","〇","×")</f>
        <v>〇</v>
      </c>
    </row>
    <row r="65" spans="1:10">
      <c r="A65" t="str">
        <f>問題!A27</f>
        <v>03総務</v>
      </c>
      <c r="B65" t="str">
        <f>問題!B27</f>
        <v>シーン2</v>
      </c>
      <c r="C65">
        <f>問題!C27</f>
        <v>3</v>
      </c>
      <c r="D65" t="str">
        <f>問題!D27</f>
        <v>個別</v>
      </c>
      <c r="E65" t="str">
        <f>問題!E27</f>
        <v>個別</v>
      </c>
      <c r="F65" t="str">
        <f>IF(問題!G27="●","〇","×")</f>
        <v>〇</v>
      </c>
      <c r="G65" t="str">
        <f>IF(問題!I27="●","〇","×")</f>
        <v>×</v>
      </c>
      <c r="H65" t="str">
        <f>IF(問題!K27="●","〇","×")</f>
        <v>〇</v>
      </c>
      <c r="I65" t="str">
        <f>IF(問題!M27="●","〇","×")</f>
        <v>×</v>
      </c>
      <c r="J65" t="str">
        <f>IF(問題!O27="●","〇","×")</f>
        <v>〇</v>
      </c>
    </row>
    <row r="66" spans="1:10">
      <c r="A66" t="str">
        <f>問題!A28</f>
        <v>03総務</v>
      </c>
      <c r="B66" t="str">
        <f>問題!B28</f>
        <v>シーン2</v>
      </c>
      <c r="C66">
        <f>問題!C28</f>
        <v>4</v>
      </c>
      <c r="D66" t="str">
        <f>問題!D28</f>
        <v>個別</v>
      </c>
      <c r="E66" t="str">
        <f>問題!E28</f>
        <v>個別</v>
      </c>
      <c r="F66" t="str">
        <f>IF(問題!G28="●","〇","×")</f>
        <v>〇</v>
      </c>
      <c r="G66" t="str">
        <f>IF(問題!I28="●","〇","×")</f>
        <v>〇</v>
      </c>
      <c r="H66" t="str">
        <f>IF(問題!K28="●","〇","×")</f>
        <v>×</v>
      </c>
      <c r="I66" t="str">
        <f>IF(問題!M28="●","〇","×")</f>
        <v>〇</v>
      </c>
      <c r="J66" t="str">
        <f>IF(問題!O28="●","〇","×")</f>
        <v>×</v>
      </c>
    </row>
    <row r="67" spans="1:10">
      <c r="A67" t="str">
        <f>問題!A29</f>
        <v>03総務</v>
      </c>
      <c r="B67" t="str">
        <f>問題!B29</f>
        <v>シーン2</v>
      </c>
      <c r="C67">
        <f>問題!C29</f>
        <v>5</v>
      </c>
      <c r="D67" t="str">
        <f>問題!D29</f>
        <v>個別</v>
      </c>
      <c r="E67" t="str">
        <f>問題!E29</f>
        <v>個別</v>
      </c>
      <c r="F67" t="str">
        <f>IF(問題!G29="●","〇","×")</f>
        <v>×</v>
      </c>
      <c r="G67" t="str">
        <f>IF(問題!I29="●","〇","×")</f>
        <v>〇</v>
      </c>
      <c r="H67" t="str">
        <f>IF(問題!K29="●","〇","×")</f>
        <v>×</v>
      </c>
      <c r="I67" t="str">
        <f>IF(問題!M29="●","〇","×")</f>
        <v>〇</v>
      </c>
      <c r="J67" t="str">
        <f>IF(問題!O29="●","〇","×")</f>
        <v>〇</v>
      </c>
    </row>
    <row r="68" spans="1:10">
      <c r="A68" t="str">
        <f>問題!A30</f>
        <v>03総務</v>
      </c>
      <c r="B68" t="str">
        <f>問題!B30</f>
        <v>シーン2</v>
      </c>
      <c r="C68">
        <f>問題!C30</f>
        <v>6</v>
      </c>
      <c r="D68" t="str">
        <f>問題!D30</f>
        <v>個別</v>
      </c>
      <c r="E68" t="str">
        <f>問題!E30</f>
        <v>個別</v>
      </c>
      <c r="F68" t="str">
        <f>IF(問題!G30="●","〇","×")</f>
        <v>〇</v>
      </c>
      <c r="G68" t="str">
        <f>IF(問題!I30="●","〇","×")</f>
        <v>×</v>
      </c>
      <c r="H68" t="str">
        <f>IF(問題!K30="●","〇","×")</f>
        <v>×</v>
      </c>
      <c r="I68" t="str">
        <f>IF(問題!M30="●","〇","×")</f>
        <v>〇</v>
      </c>
      <c r="J68" t="str">
        <f>IF(問題!O30="●","〇","×")</f>
        <v>〇</v>
      </c>
    </row>
    <row r="69" spans="1:10">
      <c r="A69" t="str">
        <f>問題!A31</f>
        <v>03総務</v>
      </c>
      <c r="B69" t="str">
        <f>問題!B31</f>
        <v>シーン2</v>
      </c>
      <c r="C69">
        <f>問題!C31</f>
        <v>7</v>
      </c>
      <c r="D69" t="str">
        <f>問題!D31</f>
        <v>共通11</v>
      </c>
      <c r="E69" t="str">
        <f>問題!E31</f>
        <v>共通</v>
      </c>
      <c r="F69" t="str">
        <f>IF(問題!G31="●","〇","×")</f>
        <v>〇</v>
      </c>
      <c r="G69" t="str">
        <f>IF(問題!I31="●","〇","×")</f>
        <v>×</v>
      </c>
      <c r="H69" t="str">
        <f>IF(問題!K31="●","〇","×")</f>
        <v>×</v>
      </c>
      <c r="I69" t="str">
        <f>IF(問題!M31="●","〇","×")</f>
        <v>×</v>
      </c>
      <c r="J69" t="str">
        <f>IF(問題!O31="●","〇","×")</f>
        <v>×</v>
      </c>
    </row>
    <row r="70" spans="1:10">
      <c r="A70" t="str">
        <f>問題!A95</f>
        <v>03総務</v>
      </c>
      <c r="B70" t="str">
        <f>問題!B95</f>
        <v>シーン3</v>
      </c>
      <c r="C70">
        <f>問題!C95</f>
        <v>1</v>
      </c>
      <c r="D70" t="str">
        <f>問題!D95</f>
        <v>共通12</v>
      </c>
      <c r="E70" t="str">
        <f>問題!E95</f>
        <v>共通</v>
      </c>
      <c r="F70" t="str">
        <f>IF(問題!G95="●","〇","×")</f>
        <v>〇</v>
      </c>
      <c r="G70" t="str">
        <f>IF(問題!I95="●","〇","×")</f>
        <v>×</v>
      </c>
      <c r="H70" t="str">
        <f>IF(問題!K95="●","〇","×")</f>
        <v>×</v>
      </c>
      <c r="I70" t="str">
        <f>IF(問題!M95="●","〇","×")</f>
        <v>×</v>
      </c>
      <c r="J70" t="str">
        <f>IF(問題!O95="●","〇","×")</f>
        <v>〇</v>
      </c>
    </row>
    <row r="71" spans="1:10">
      <c r="A71" t="str">
        <f>問題!A96</f>
        <v>03総務</v>
      </c>
      <c r="B71" t="str">
        <f>問題!B96</f>
        <v>シーン3</v>
      </c>
      <c r="C71">
        <f>問題!C96</f>
        <v>2</v>
      </c>
      <c r="D71" t="str">
        <f>問題!D96</f>
        <v>共通13</v>
      </c>
      <c r="E71" t="str">
        <f>問題!E96</f>
        <v>共通</v>
      </c>
      <c r="F71" t="str">
        <f>IF(問題!G96="●","〇","×")</f>
        <v>〇</v>
      </c>
      <c r="G71" t="str">
        <f>IF(問題!I96="●","〇","×")</f>
        <v>〇</v>
      </c>
      <c r="H71" t="str">
        <f>IF(問題!K96="●","〇","×")</f>
        <v>×</v>
      </c>
      <c r="I71" t="str">
        <f>IF(問題!M96="●","〇","×")</f>
        <v>×</v>
      </c>
      <c r="J71" t="str">
        <f>IF(問題!O96="●","〇","×")</f>
        <v>〇</v>
      </c>
    </row>
    <row r="72" spans="1:10">
      <c r="A72" t="str">
        <f>問題!A97</f>
        <v>03総務</v>
      </c>
      <c r="B72" t="str">
        <f>問題!B97</f>
        <v>シーン3</v>
      </c>
      <c r="C72">
        <f>問題!C97</f>
        <v>3</v>
      </c>
      <c r="D72" t="str">
        <f>問題!D97</f>
        <v>個別</v>
      </c>
      <c r="E72" t="str">
        <f>問題!E97</f>
        <v>個別</v>
      </c>
      <c r="F72" t="str">
        <f>IF(問題!G97="●","〇","×")</f>
        <v>×</v>
      </c>
      <c r="G72" t="str">
        <f>IF(問題!I97="●","〇","×")</f>
        <v>×</v>
      </c>
      <c r="H72" t="str">
        <f>IF(問題!K97="●","〇","×")</f>
        <v>×</v>
      </c>
      <c r="I72" t="str">
        <f>IF(問題!M97="●","〇","×")</f>
        <v>〇</v>
      </c>
      <c r="J72" t="str">
        <f>IF(問題!O97="●","〇","×")</f>
        <v>〇</v>
      </c>
    </row>
    <row r="73" spans="1:10">
      <c r="A73" t="str">
        <f>問題!A98</f>
        <v>03総務</v>
      </c>
      <c r="B73" t="str">
        <f>問題!B98</f>
        <v>シーン3</v>
      </c>
      <c r="C73">
        <f>問題!C98</f>
        <v>4</v>
      </c>
      <c r="D73" t="str">
        <f>問題!D98</f>
        <v>個別</v>
      </c>
      <c r="E73" t="str">
        <f>問題!E98</f>
        <v>個別</v>
      </c>
      <c r="F73" t="str">
        <f>IF(問題!G98="●","〇","×")</f>
        <v>〇</v>
      </c>
      <c r="G73" t="str">
        <f>IF(問題!I98="●","〇","×")</f>
        <v>×</v>
      </c>
      <c r="H73" t="str">
        <f>IF(問題!K98="●","〇","×")</f>
        <v>×</v>
      </c>
      <c r="I73" t="str">
        <f>IF(問題!M98="●","〇","×")</f>
        <v>×</v>
      </c>
      <c r="J73" t="str">
        <f>IF(問題!O98="●","〇","×")</f>
        <v>〇</v>
      </c>
    </row>
    <row r="74" spans="1:10">
      <c r="A74" t="str">
        <f>問題!A99</f>
        <v>03総務</v>
      </c>
      <c r="B74" t="str">
        <f>問題!B99</f>
        <v>シーン3</v>
      </c>
      <c r="C74">
        <f>問題!C99</f>
        <v>5</v>
      </c>
      <c r="D74" t="str">
        <f>問題!D99</f>
        <v>個別</v>
      </c>
      <c r="E74" t="str">
        <f>問題!E99</f>
        <v>個別</v>
      </c>
      <c r="F74" t="str">
        <f>IF(問題!G99="●","〇","×")</f>
        <v>〇</v>
      </c>
      <c r="G74" t="str">
        <f>IF(問題!I99="●","〇","×")</f>
        <v>×</v>
      </c>
      <c r="H74" t="str">
        <f>IF(問題!K99="●","〇","×")</f>
        <v>〇</v>
      </c>
      <c r="I74" t="str">
        <f>IF(問題!M99="●","〇","×")</f>
        <v>×</v>
      </c>
      <c r="J74" t="str">
        <f>IF(問題!O99="●","〇","×")</f>
        <v>〇</v>
      </c>
    </row>
    <row r="75" spans="1:10">
      <c r="A75" t="str">
        <f>問題!A100</f>
        <v>03総務</v>
      </c>
      <c r="B75" t="str">
        <f>問題!B100</f>
        <v>シーン3</v>
      </c>
      <c r="C75">
        <f>問題!C100</f>
        <v>6</v>
      </c>
      <c r="D75" t="str">
        <f>問題!D100</f>
        <v>個別</v>
      </c>
      <c r="E75" t="str">
        <f>問題!E100</f>
        <v>個別</v>
      </c>
      <c r="F75" t="str">
        <f>IF(問題!G100="●","〇","×")</f>
        <v>〇</v>
      </c>
      <c r="G75" t="str">
        <f>IF(問題!I100="●","〇","×")</f>
        <v>×</v>
      </c>
      <c r="H75" t="str">
        <f>IF(問題!K100="●","〇","×")</f>
        <v>×</v>
      </c>
      <c r="I75" t="str">
        <f>IF(問題!M100="●","〇","×")</f>
        <v>〇</v>
      </c>
      <c r="J75" t="str">
        <f>IF(問題!O100="●","〇","×")</f>
        <v>〇</v>
      </c>
    </row>
    <row r="76" spans="1:10">
      <c r="A76" t="str">
        <f>問題!A101</f>
        <v>03総務</v>
      </c>
      <c r="B76" t="str">
        <f>問題!B101</f>
        <v>シーン3</v>
      </c>
      <c r="C76">
        <f>問題!C101</f>
        <v>7</v>
      </c>
      <c r="D76" t="str">
        <f>問題!D101</f>
        <v>共通14</v>
      </c>
      <c r="E76" t="str">
        <f>問題!E101</f>
        <v>共通</v>
      </c>
      <c r="F76" t="str">
        <f>IF(問題!G101="●","〇","×")</f>
        <v>×</v>
      </c>
      <c r="G76" t="str">
        <f>IF(問題!I101="●","〇","×")</f>
        <v>×</v>
      </c>
      <c r="H76" t="str">
        <f>IF(問題!K101="●","〇","×")</f>
        <v>〇</v>
      </c>
      <c r="I76" t="str">
        <f>IF(問題!M101="●","〇","×")</f>
        <v>〇</v>
      </c>
      <c r="J76" t="str">
        <f>IF(問題!O101="●","〇","×")</f>
        <v>〇</v>
      </c>
    </row>
    <row r="77" spans="1:10">
      <c r="A77" s="63" t="s">
        <v>357</v>
      </c>
      <c r="B77" s="63"/>
      <c r="C77" s="63"/>
      <c r="D77" s="63"/>
      <c r="E77" s="63" t="s">
        <v>367</v>
      </c>
      <c r="F77" s="63">
        <f>COUNTIF(F55:F76,"〇")</f>
        <v>11</v>
      </c>
      <c r="G77" s="63">
        <f>COUNTIF(G55:G76,"〇")</f>
        <v>10</v>
      </c>
      <c r="H77" s="63">
        <f>COUNTIF(H55:H76,"〇")</f>
        <v>6</v>
      </c>
      <c r="I77" s="63">
        <f>COUNTIF(I55:I76,"〇")</f>
        <v>10</v>
      </c>
      <c r="J77" s="63">
        <f>COUNTIF(J55:J76,"〇")</f>
        <v>15</v>
      </c>
    </row>
    <row r="79" spans="1:10" ht="19.899999999999999">
      <c r="A79" s="68" t="s">
        <v>370</v>
      </c>
      <c r="B79" s="68"/>
      <c r="C79" s="68"/>
      <c r="D79" s="68"/>
      <c r="E79" s="68"/>
      <c r="F79" s="68"/>
      <c r="G79" s="68"/>
      <c r="H79" s="68"/>
      <c r="I79" s="68"/>
      <c r="J79" s="68"/>
    </row>
    <row r="80" spans="1:10">
      <c r="A80" s="62" t="s">
        <v>358</v>
      </c>
      <c r="B80" s="62" t="s">
        <v>331</v>
      </c>
      <c r="C80" s="62" t="s">
        <v>360</v>
      </c>
      <c r="D80" s="62" t="s">
        <v>361</v>
      </c>
      <c r="E80" s="62" t="s">
        <v>362</v>
      </c>
      <c r="F80" s="62" t="s">
        <v>333</v>
      </c>
      <c r="G80" s="62" t="s">
        <v>363</v>
      </c>
      <c r="H80" s="62" t="s">
        <v>364</v>
      </c>
      <c r="I80" s="62" t="s">
        <v>365</v>
      </c>
      <c r="J80" s="62" t="s">
        <v>366</v>
      </c>
    </row>
    <row r="81" spans="1:10">
      <c r="A81" t="str">
        <f>問題!A3</f>
        <v>00全班共通</v>
      </c>
      <c r="B81" t="str">
        <f>問題!B3</f>
        <v>シーン1</v>
      </c>
      <c r="C81">
        <f>問題!C3</f>
        <v>1</v>
      </c>
      <c r="D81" t="str">
        <f>問題!D3</f>
        <v>共通01</v>
      </c>
      <c r="E81" t="str">
        <f>問題!E3</f>
        <v>共通</v>
      </c>
      <c r="F81" t="str">
        <f>IF(問題!G3="●","〇","×")</f>
        <v>×</v>
      </c>
      <c r="G81" t="str">
        <f>IF(問題!I3="●","〇","×")</f>
        <v>〇</v>
      </c>
      <c r="H81" t="str">
        <f>IF(問題!K3="●","〇","×")</f>
        <v>×</v>
      </c>
      <c r="I81" t="str">
        <f>IF(問題!M3="●","〇","×")</f>
        <v>〇</v>
      </c>
      <c r="J81" t="str">
        <f>IF(問題!O3="●","〇","×")</f>
        <v>〇</v>
      </c>
    </row>
    <row r="82" spans="1:10">
      <c r="A82" t="str">
        <f>問題!A4</f>
        <v>00全班共通</v>
      </c>
      <c r="B82" t="str">
        <f>問題!B4</f>
        <v>シーン1</v>
      </c>
      <c r="C82">
        <f>問題!C4</f>
        <v>2</v>
      </c>
      <c r="D82" t="str">
        <f>問題!D4</f>
        <v>共通02</v>
      </c>
      <c r="E82" t="str">
        <f>問題!E4</f>
        <v>共通</v>
      </c>
      <c r="F82" t="str">
        <f>IF(問題!G4="●","〇","×")</f>
        <v>×</v>
      </c>
      <c r="G82" t="str">
        <f>IF(問題!I4="●","〇","×")</f>
        <v>〇</v>
      </c>
      <c r="H82" t="str">
        <f>IF(問題!K4="●","〇","×")</f>
        <v>×</v>
      </c>
      <c r="I82" t="str">
        <f>IF(問題!M4="●","〇","×")</f>
        <v>×</v>
      </c>
      <c r="J82" t="str">
        <f>IF(問題!O4="●","〇","×")</f>
        <v>×</v>
      </c>
    </row>
    <row r="83" spans="1:10">
      <c r="A83" t="str">
        <f>問題!A5</f>
        <v>00全班共通</v>
      </c>
      <c r="B83" t="str">
        <f>問題!B5</f>
        <v>シーン1</v>
      </c>
      <c r="C83">
        <f>問題!C5</f>
        <v>3</v>
      </c>
      <c r="D83" t="str">
        <f>問題!D5</f>
        <v>共通03</v>
      </c>
      <c r="E83" t="str">
        <f>問題!E5</f>
        <v>共通</v>
      </c>
      <c r="F83" t="str">
        <f>IF(問題!G5="●","〇","×")</f>
        <v>×</v>
      </c>
      <c r="G83" t="str">
        <f>IF(問題!I5="●","〇","×")</f>
        <v>×</v>
      </c>
      <c r="H83" t="str">
        <f>IF(問題!K5="●","〇","×")</f>
        <v>〇</v>
      </c>
      <c r="I83" t="str">
        <f>IF(問題!M5="●","〇","×")</f>
        <v>×</v>
      </c>
      <c r="J83" t="str">
        <f>IF(問題!O5="●","〇","×")</f>
        <v>×</v>
      </c>
    </row>
    <row r="84" spans="1:10">
      <c r="A84" t="str">
        <f>問題!A6</f>
        <v>00全班共通</v>
      </c>
      <c r="B84" t="str">
        <f>問題!B6</f>
        <v>シーン1</v>
      </c>
      <c r="C84">
        <f>問題!C6</f>
        <v>4</v>
      </c>
      <c r="D84" t="str">
        <f>問題!D6</f>
        <v>共通04</v>
      </c>
      <c r="E84" t="str">
        <f>問題!E6</f>
        <v>共通</v>
      </c>
      <c r="F84" t="str">
        <f>IF(問題!G6="●","〇","×")</f>
        <v>×</v>
      </c>
      <c r="G84" t="str">
        <f>IF(問題!I6="●","〇","×")</f>
        <v>〇</v>
      </c>
      <c r="H84" t="str">
        <f>IF(問題!K6="●","〇","×")</f>
        <v>×</v>
      </c>
      <c r="I84" t="str">
        <f>IF(問題!M6="●","〇","×")</f>
        <v>×</v>
      </c>
      <c r="J84" t="str">
        <f>IF(問題!O6="●","〇","×")</f>
        <v>〇</v>
      </c>
    </row>
    <row r="85" spans="1:10">
      <c r="A85" t="str">
        <f>問題!A7</f>
        <v>00全班共通</v>
      </c>
      <c r="B85" t="str">
        <f>問題!B7</f>
        <v>シーン1</v>
      </c>
      <c r="C85">
        <f>問題!C7</f>
        <v>5</v>
      </c>
      <c r="D85" t="str">
        <f>問題!D7</f>
        <v>共通05</v>
      </c>
      <c r="E85" t="str">
        <f>問題!E7</f>
        <v>共通</v>
      </c>
      <c r="F85" t="str">
        <f>IF(問題!G7="●","〇","×")</f>
        <v>×</v>
      </c>
      <c r="G85" t="str">
        <f>IF(問題!I7="●","〇","×")</f>
        <v>×</v>
      </c>
      <c r="H85" t="str">
        <f>IF(問題!K7="●","〇","×")</f>
        <v>×</v>
      </c>
      <c r="I85" t="str">
        <f>IF(問題!M7="●","〇","×")</f>
        <v>〇</v>
      </c>
      <c r="J85" t="str">
        <f>IF(問題!O7="●","〇","×")</f>
        <v>〇</v>
      </c>
    </row>
    <row r="86" spans="1:10">
      <c r="A86" t="str">
        <f>問題!A8</f>
        <v>00全班共通</v>
      </c>
      <c r="B86" t="str">
        <f>問題!B8</f>
        <v>シーン1</v>
      </c>
      <c r="C86">
        <f>問題!C8</f>
        <v>6</v>
      </c>
      <c r="D86" t="str">
        <f>問題!D8</f>
        <v>共通06</v>
      </c>
      <c r="E86" t="str">
        <f>問題!E8</f>
        <v>共通</v>
      </c>
      <c r="F86" t="str">
        <f>IF(問題!G8="●","〇","×")</f>
        <v>×</v>
      </c>
      <c r="G86" t="str">
        <f>IF(問題!I8="●","〇","×")</f>
        <v>〇</v>
      </c>
      <c r="H86" t="str">
        <f>IF(問題!K8="●","〇","×")</f>
        <v>〇</v>
      </c>
      <c r="I86" t="str">
        <f>IF(問題!M8="●","〇","×")</f>
        <v>〇</v>
      </c>
      <c r="J86" t="str">
        <f>IF(問題!O8="●","〇","×")</f>
        <v>×</v>
      </c>
    </row>
    <row r="87" spans="1:10">
      <c r="A87" t="str">
        <f>問題!A9</f>
        <v>00全班共通</v>
      </c>
      <c r="B87" t="str">
        <f>問題!B9</f>
        <v>シーン1</v>
      </c>
      <c r="C87">
        <f>問題!C9</f>
        <v>7</v>
      </c>
      <c r="D87" t="str">
        <f>問題!D9</f>
        <v>共通07</v>
      </c>
      <c r="E87" t="str">
        <f>問題!E9</f>
        <v>共通</v>
      </c>
      <c r="F87" t="str">
        <f>IF(問題!G9="●","〇","×")</f>
        <v>×</v>
      </c>
      <c r="G87" t="str">
        <f>IF(問題!I9="●","〇","×")</f>
        <v>〇</v>
      </c>
      <c r="H87" t="str">
        <f>IF(問題!K9="●","〇","×")</f>
        <v>×</v>
      </c>
      <c r="I87" t="str">
        <f>IF(問題!M9="●","〇","×")</f>
        <v>×</v>
      </c>
      <c r="J87" t="str">
        <f>IF(問題!O9="●","〇","×")</f>
        <v>〇</v>
      </c>
    </row>
    <row r="88" spans="1:10">
      <c r="A88" t="str">
        <f>問題!A10</f>
        <v>00全班共通</v>
      </c>
      <c r="B88" t="str">
        <f>問題!B10</f>
        <v>シーン1</v>
      </c>
      <c r="C88">
        <f>問題!C10</f>
        <v>8</v>
      </c>
      <c r="D88" t="str">
        <f>問題!D10</f>
        <v>共通08</v>
      </c>
      <c r="E88" t="str">
        <f>問題!E10</f>
        <v>共通</v>
      </c>
      <c r="F88" t="str">
        <f>IF(問題!G10="●","〇","×")</f>
        <v>×</v>
      </c>
      <c r="G88" t="str">
        <f>IF(問題!I10="●","〇","×")</f>
        <v>〇</v>
      </c>
      <c r="H88" t="str">
        <f>IF(問題!K10="●","〇","×")</f>
        <v>〇</v>
      </c>
      <c r="I88" t="str">
        <f>IF(問題!M10="●","〇","×")</f>
        <v>〇</v>
      </c>
      <c r="J88" t="str">
        <f>IF(問題!O10="●","〇","×")</f>
        <v>×</v>
      </c>
    </row>
    <row r="89" spans="1:10">
      <c r="A89" t="str">
        <f>問題!A32</f>
        <v>04サービス</v>
      </c>
      <c r="B89" t="str">
        <f>問題!B32</f>
        <v>シーン2</v>
      </c>
      <c r="C89">
        <f>問題!C32</f>
        <v>1</v>
      </c>
      <c r="D89" t="str">
        <f>問題!D32</f>
        <v>共通09</v>
      </c>
      <c r="E89" t="str">
        <f>問題!E32</f>
        <v>共通</v>
      </c>
      <c r="F89" t="str">
        <f>IF(問題!G32="●","〇","×")</f>
        <v>〇</v>
      </c>
      <c r="G89" t="str">
        <f>IF(問題!I32="●","〇","×")</f>
        <v>〇</v>
      </c>
      <c r="H89" t="str">
        <f>IF(問題!K32="●","〇","×")</f>
        <v>×</v>
      </c>
      <c r="I89" t="str">
        <f>IF(問題!M32="●","〇","×")</f>
        <v>×</v>
      </c>
      <c r="J89" t="str">
        <f>IF(問題!O32="●","〇","×")</f>
        <v>×</v>
      </c>
    </row>
    <row r="90" spans="1:10">
      <c r="A90" t="str">
        <f>問題!A33</f>
        <v>04サービス</v>
      </c>
      <c r="B90" t="str">
        <f>問題!B33</f>
        <v>シーン2</v>
      </c>
      <c r="C90">
        <f>問題!C33</f>
        <v>2</v>
      </c>
      <c r="D90" t="str">
        <f>問題!D33</f>
        <v>共通10</v>
      </c>
      <c r="E90" t="str">
        <f>問題!E33</f>
        <v>共通</v>
      </c>
      <c r="F90" t="str">
        <f>IF(問題!G33="●","〇","×")</f>
        <v>〇</v>
      </c>
      <c r="G90" t="str">
        <f>IF(問題!I33="●","〇","×")</f>
        <v>×</v>
      </c>
      <c r="H90" t="str">
        <f>IF(問題!K33="●","〇","×")</f>
        <v>×</v>
      </c>
      <c r="I90" t="str">
        <f>IF(問題!M33="●","〇","×")</f>
        <v>×</v>
      </c>
      <c r="J90" t="str">
        <f>IF(問題!O33="●","〇","×")</f>
        <v>〇</v>
      </c>
    </row>
    <row r="91" spans="1:10">
      <c r="A91" t="str">
        <f>問題!A34</f>
        <v>04サービス</v>
      </c>
      <c r="B91" t="str">
        <f>問題!B34</f>
        <v>シーン2</v>
      </c>
      <c r="C91">
        <f>問題!C34</f>
        <v>3</v>
      </c>
      <c r="D91" t="str">
        <f>問題!D34</f>
        <v>個別</v>
      </c>
      <c r="E91" t="str">
        <f>問題!E34</f>
        <v>個別</v>
      </c>
      <c r="F91" t="str">
        <f>IF(問題!G34="●","〇","×")</f>
        <v>〇</v>
      </c>
      <c r="G91" t="str">
        <f>IF(問題!I34="●","〇","×")</f>
        <v>〇</v>
      </c>
      <c r="H91" t="str">
        <f>IF(問題!K34="●","〇","×")</f>
        <v>×</v>
      </c>
      <c r="I91" t="str">
        <f>IF(問題!M34="●","〇","×")</f>
        <v>×</v>
      </c>
      <c r="J91" t="str">
        <f>IF(問題!O34="●","〇","×")</f>
        <v>×</v>
      </c>
    </row>
    <row r="92" spans="1:10">
      <c r="A92" t="str">
        <f>問題!A35</f>
        <v>04サービス</v>
      </c>
      <c r="B92" t="str">
        <f>問題!B35</f>
        <v>シーン2</v>
      </c>
      <c r="C92">
        <f>問題!C35</f>
        <v>4</v>
      </c>
      <c r="D92" t="str">
        <f>問題!D35</f>
        <v>個別</v>
      </c>
      <c r="E92" t="str">
        <f>問題!E35</f>
        <v>個別</v>
      </c>
      <c r="F92" t="str">
        <f>IF(問題!G35="●","〇","×")</f>
        <v>×</v>
      </c>
      <c r="G92" t="str">
        <f>IF(問題!I35="●","〇","×")</f>
        <v>×</v>
      </c>
      <c r="H92" t="str">
        <f>IF(問題!K35="●","〇","×")</f>
        <v>〇</v>
      </c>
      <c r="I92" t="str">
        <f>IF(問題!M35="●","〇","×")</f>
        <v>〇</v>
      </c>
      <c r="J92" t="str">
        <f>IF(問題!O35="●","〇","×")</f>
        <v>×</v>
      </c>
    </row>
    <row r="93" spans="1:10">
      <c r="A93" t="str">
        <f>問題!A36</f>
        <v>04サービス</v>
      </c>
      <c r="B93" t="str">
        <f>問題!B36</f>
        <v>シーン2</v>
      </c>
      <c r="C93">
        <f>問題!C36</f>
        <v>5</v>
      </c>
      <c r="D93" t="str">
        <f>問題!D36</f>
        <v>個別</v>
      </c>
      <c r="E93" t="str">
        <f>問題!E36</f>
        <v>個別</v>
      </c>
      <c r="F93" t="str">
        <f>IF(問題!G36="●","〇","×")</f>
        <v>〇</v>
      </c>
      <c r="G93" t="str">
        <f>IF(問題!I36="●","〇","×")</f>
        <v>×</v>
      </c>
      <c r="H93" t="str">
        <f>IF(問題!K36="●","〇","×")</f>
        <v>〇</v>
      </c>
      <c r="I93" t="str">
        <f>IF(問題!M36="●","〇","×")</f>
        <v>〇</v>
      </c>
      <c r="J93" t="str">
        <f>IF(問題!O36="●","〇","×")</f>
        <v>×</v>
      </c>
    </row>
    <row r="94" spans="1:10">
      <c r="A94" t="str">
        <f>問題!A37</f>
        <v>04サービス</v>
      </c>
      <c r="B94" t="str">
        <f>問題!B37</f>
        <v>シーン2</v>
      </c>
      <c r="C94">
        <f>問題!C37</f>
        <v>6</v>
      </c>
      <c r="D94" t="str">
        <f>問題!D37</f>
        <v>個別</v>
      </c>
      <c r="E94" t="str">
        <f>問題!E37</f>
        <v>個別</v>
      </c>
      <c r="F94" t="str">
        <f>IF(問題!G37="●","〇","×")</f>
        <v>×</v>
      </c>
      <c r="G94" t="str">
        <f>IF(問題!I37="●","〇","×")</f>
        <v>×</v>
      </c>
      <c r="H94" t="str">
        <f>IF(問題!K37="●","〇","×")</f>
        <v>〇</v>
      </c>
      <c r="I94" t="str">
        <f>IF(問題!M37="●","〇","×")</f>
        <v>〇</v>
      </c>
      <c r="J94" t="str">
        <f>IF(問題!O37="●","〇","×")</f>
        <v>×</v>
      </c>
    </row>
    <row r="95" spans="1:10">
      <c r="A95" t="str">
        <f>問題!A38</f>
        <v>04サービス</v>
      </c>
      <c r="B95" t="str">
        <f>問題!B38</f>
        <v>シーン2</v>
      </c>
      <c r="C95">
        <f>問題!C38</f>
        <v>7</v>
      </c>
      <c r="D95" t="str">
        <f>問題!D38</f>
        <v>共通11</v>
      </c>
      <c r="E95" t="str">
        <f>問題!E38</f>
        <v>共通</v>
      </c>
      <c r="F95" t="str">
        <f>IF(問題!G38="●","〇","×")</f>
        <v>〇</v>
      </c>
      <c r="G95" t="str">
        <f>IF(問題!I38="●","〇","×")</f>
        <v>×</v>
      </c>
      <c r="H95" t="str">
        <f>IF(問題!K38="●","〇","×")</f>
        <v>×</v>
      </c>
      <c r="I95" t="str">
        <f>IF(問題!M38="●","〇","×")</f>
        <v>×</v>
      </c>
      <c r="J95" t="str">
        <f>IF(問題!O38="●","〇","×")</f>
        <v>×</v>
      </c>
    </row>
    <row r="96" spans="1:10">
      <c r="A96" t="str">
        <f>問題!A102</f>
        <v>04サービス</v>
      </c>
      <c r="B96" t="str">
        <f>問題!B102</f>
        <v>シーン3</v>
      </c>
      <c r="C96">
        <f>問題!C102</f>
        <v>1</v>
      </c>
      <c r="D96" t="str">
        <f>問題!D102</f>
        <v>共通12</v>
      </c>
      <c r="E96" t="str">
        <f>問題!E102</f>
        <v>共通</v>
      </c>
      <c r="F96" t="str">
        <f>IF(問題!G102="●","〇","×")</f>
        <v>〇</v>
      </c>
      <c r="G96" t="str">
        <f>IF(問題!I102="●","〇","×")</f>
        <v>×</v>
      </c>
      <c r="H96" t="str">
        <f>IF(問題!K102="●","〇","×")</f>
        <v>×</v>
      </c>
      <c r="I96" t="str">
        <f>IF(問題!M102="●","〇","×")</f>
        <v>×</v>
      </c>
      <c r="J96" t="str">
        <f>IF(問題!O102="●","〇","×")</f>
        <v>〇</v>
      </c>
    </row>
    <row r="97" spans="1:10">
      <c r="A97" t="str">
        <f>問題!A103</f>
        <v>04サービス</v>
      </c>
      <c r="B97" t="str">
        <f>問題!B103</f>
        <v>シーン3</v>
      </c>
      <c r="C97">
        <f>問題!C103</f>
        <v>2</v>
      </c>
      <c r="D97" t="str">
        <f>問題!D103</f>
        <v>共通13</v>
      </c>
      <c r="E97" t="str">
        <f>問題!E103</f>
        <v>共通</v>
      </c>
      <c r="F97" t="str">
        <f>IF(問題!G103="●","〇","×")</f>
        <v>〇</v>
      </c>
      <c r="G97" t="str">
        <f>IF(問題!I103="●","〇","×")</f>
        <v>〇</v>
      </c>
      <c r="H97" t="str">
        <f>IF(問題!K103="●","〇","×")</f>
        <v>×</v>
      </c>
      <c r="I97" t="str">
        <f>IF(問題!M103="●","〇","×")</f>
        <v>×</v>
      </c>
      <c r="J97" t="str">
        <f>IF(問題!O103="●","〇","×")</f>
        <v>〇</v>
      </c>
    </row>
    <row r="98" spans="1:10">
      <c r="A98" t="str">
        <f>問題!A104</f>
        <v>04サービス</v>
      </c>
      <c r="B98" t="str">
        <f>問題!B104</f>
        <v>シーン3</v>
      </c>
      <c r="C98">
        <f>問題!C104</f>
        <v>3</v>
      </c>
      <c r="D98" t="str">
        <f>問題!D104</f>
        <v>個別</v>
      </c>
      <c r="E98" t="str">
        <f>問題!E104</f>
        <v>個別</v>
      </c>
      <c r="F98" t="str">
        <f>IF(問題!G104="●","〇","×")</f>
        <v>×</v>
      </c>
      <c r="G98" t="str">
        <f>IF(問題!I104="●","〇","×")</f>
        <v>〇</v>
      </c>
      <c r="H98" t="str">
        <f>IF(問題!K104="●","〇","×")</f>
        <v>〇</v>
      </c>
      <c r="I98" t="str">
        <f>IF(問題!M104="●","〇","×")</f>
        <v>×</v>
      </c>
      <c r="J98" t="str">
        <f>IF(問題!O104="●","〇","×")</f>
        <v>×</v>
      </c>
    </row>
    <row r="99" spans="1:10">
      <c r="A99" t="str">
        <f>問題!A105</f>
        <v>04サービス</v>
      </c>
      <c r="B99" t="str">
        <f>問題!B105</f>
        <v>シーン3</v>
      </c>
      <c r="C99">
        <f>問題!C105</f>
        <v>4</v>
      </c>
      <c r="D99" t="str">
        <f>問題!D105</f>
        <v>個別</v>
      </c>
      <c r="E99" t="str">
        <f>問題!E105</f>
        <v>個別</v>
      </c>
      <c r="F99" t="str">
        <f>IF(問題!G105="●","〇","×")</f>
        <v>〇</v>
      </c>
      <c r="G99" t="str">
        <f>IF(問題!I105="●","〇","×")</f>
        <v>×</v>
      </c>
      <c r="H99" t="str">
        <f>IF(問題!K105="●","〇","×")</f>
        <v>×</v>
      </c>
      <c r="I99" t="str">
        <f>IF(問題!M105="●","〇","×")</f>
        <v>×</v>
      </c>
      <c r="J99" t="str">
        <f>IF(問題!O105="●","〇","×")</f>
        <v>〇</v>
      </c>
    </row>
    <row r="100" spans="1:10">
      <c r="A100" t="str">
        <f>問題!A106</f>
        <v>04サービス</v>
      </c>
      <c r="B100" t="str">
        <f>問題!B106</f>
        <v>シーン3</v>
      </c>
      <c r="C100">
        <f>問題!C106</f>
        <v>5</v>
      </c>
      <c r="D100" t="str">
        <f>問題!D106</f>
        <v>個別</v>
      </c>
      <c r="E100" t="str">
        <f>問題!E106</f>
        <v>個別</v>
      </c>
      <c r="F100" t="str">
        <f>IF(問題!G106="●","〇","×")</f>
        <v>×</v>
      </c>
      <c r="G100" t="str">
        <f>IF(問題!I106="●","〇","×")</f>
        <v>〇</v>
      </c>
      <c r="H100" t="str">
        <f>IF(問題!K106="●","〇","×")</f>
        <v>×</v>
      </c>
      <c r="I100" t="str">
        <f>IF(問題!M106="●","〇","×")</f>
        <v>〇</v>
      </c>
      <c r="J100" t="str">
        <f>IF(問題!O106="●","〇","×")</f>
        <v>×</v>
      </c>
    </row>
    <row r="101" spans="1:10">
      <c r="A101" t="str">
        <f>問題!A107</f>
        <v>04サービス</v>
      </c>
      <c r="B101" t="str">
        <f>問題!B107</f>
        <v>シーン3</v>
      </c>
      <c r="C101">
        <f>問題!C107</f>
        <v>6</v>
      </c>
      <c r="D101" t="str">
        <f>問題!D107</f>
        <v>個別</v>
      </c>
      <c r="E101" t="str">
        <f>問題!E107</f>
        <v>個別</v>
      </c>
      <c r="F101" t="str">
        <f>IF(問題!G107="●","〇","×")</f>
        <v>〇</v>
      </c>
      <c r="G101" t="str">
        <f>IF(問題!I107="●","〇","×")</f>
        <v>〇</v>
      </c>
      <c r="H101" t="str">
        <f>IF(問題!K107="●","〇","×")</f>
        <v>×</v>
      </c>
      <c r="I101" t="str">
        <f>IF(問題!M107="●","〇","×")</f>
        <v>×</v>
      </c>
      <c r="J101" t="str">
        <f>IF(問題!O107="●","〇","×")</f>
        <v>×</v>
      </c>
    </row>
    <row r="102" spans="1:10">
      <c r="A102" t="str">
        <f>問題!A108</f>
        <v>04サービス</v>
      </c>
      <c r="B102" t="str">
        <f>問題!B108</f>
        <v>シーン3</v>
      </c>
      <c r="C102">
        <f>問題!C108</f>
        <v>7</v>
      </c>
      <c r="D102" t="str">
        <f>問題!D108</f>
        <v>共通14</v>
      </c>
      <c r="E102" t="str">
        <f>問題!E108</f>
        <v>共通</v>
      </c>
      <c r="F102" t="str">
        <f>IF(問題!G108="●","〇","×")</f>
        <v>×</v>
      </c>
      <c r="G102" t="str">
        <f>IF(問題!I108="●","〇","×")</f>
        <v>×</v>
      </c>
      <c r="H102" t="str">
        <f>IF(問題!K108="●","〇","×")</f>
        <v>〇</v>
      </c>
      <c r="I102" t="str">
        <f>IF(問題!M108="●","〇","×")</f>
        <v>〇</v>
      </c>
      <c r="J102" t="str">
        <f>IF(問題!O108="●","〇","×")</f>
        <v>〇</v>
      </c>
    </row>
    <row r="103" spans="1:10">
      <c r="A103" s="63" t="s">
        <v>357</v>
      </c>
      <c r="B103" s="63"/>
      <c r="C103" s="63"/>
      <c r="D103" s="63"/>
      <c r="E103" s="63" t="s">
        <v>367</v>
      </c>
      <c r="F103" s="63">
        <f>COUNTIF(F81:F102,"〇")</f>
        <v>9</v>
      </c>
      <c r="G103" s="63">
        <f>COUNTIF(G81:G102,"〇")</f>
        <v>12</v>
      </c>
      <c r="H103" s="63">
        <f>COUNTIF(H81:H102,"〇")</f>
        <v>8</v>
      </c>
      <c r="I103" s="63">
        <f>COUNTIF(I81:I102,"〇")</f>
        <v>9</v>
      </c>
      <c r="J103" s="63">
        <f>COUNTIF(J81:J102,"〇")</f>
        <v>9</v>
      </c>
    </row>
    <row r="105" spans="1:10" ht="19.899999999999999">
      <c r="A105" s="68" t="s">
        <v>371</v>
      </c>
      <c r="B105" s="68"/>
      <c r="C105" s="68"/>
      <c r="D105" s="68"/>
      <c r="E105" s="68"/>
      <c r="F105" s="68"/>
      <c r="G105" s="68"/>
      <c r="H105" s="68"/>
      <c r="I105" s="68"/>
      <c r="J105" s="68"/>
    </row>
    <row r="106" spans="1:10">
      <c r="A106" s="62" t="s">
        <v>358</v>
      </c>
      <c r="B106" s="62" t="s">
        <v>331</v>
      </c>
      <c r="C106" s="62" t="s">
        <v>360</v>
      </c>
      <c r="D106" s="62" t="s">
        <v>361</v>
      </c>
      <c r="E106" s="62" t="s">
        <v>362</v>
      </c>
      <c r="F106" s="62" t="s">
        <v>333</v>
      </c>
      <c r="G106" s="62" t="s">
        <v>363</v>
      </c>
      <c r="H106" s="62" t="s">
        <v>364</v>
      </c>
      <c r="I106" s="62" t="s">
        <v>365</v>
      </c>
      <c r="J106" s="62" t="s">
        <v>366</v>
      </c>
    </row>
    <row r="107" spans="1:10">
      <c r="A107" t="str">
        <f>問題!A3</f>
        <v>00全班共通</v>
      </c>
      <c r="B107" t="str">
        <f>問題!B3</f>
        <v>シーン1</v>
      </c>
      <c r="C107">
        <f>問題!C3</f>
        <v>1</v>
      </c>
      <c r="D107" t="str">
        <f>問題!D3</f>
        <v>共通01</v>
      </c>
      <c r="E107" t="str">
        <f>問題!E3</f>
        <v>共通</v>
      </c>
      <c r="F107" t="str">
        <f>IF(問題!G3="●","〇","×")</f>
        <v>×</v>
      </c>
      <c r="G107" t="str">
        <f>IF(問題!I3="●","〇","×")</f>
        <v>〇</v>
      </c>
      <c r="H107" t="str">
        <f>IF(問題!K3="●","〇","×")</f>
        <v>×</v>
      </c>
      <c r="I107" t="str">
        <f>IF(問題!M3="●","〇","×")</f>
        <v>〇</v>
      </c>
      <c r="J107" t="str">
        <f>IF(問題!O3="●","〇","×")</f>
        <v>〇</v>
      </c>
    </row>
    <row r="108" spans="1:10">
      <c r="A108" t="str">
        <f>問題!A4</f>
        <v>00全班共通</v>
      </c>
      <c r="B108" t="str">
        <f>問題!B4</f>
        <v>シーン1</v>
      </c>
      <c r="C108">
        <f>問題!C4</f>
        <v>2</v>
      </c>
      <c r="D108" t="str">
        <f>問題!D4</f>
        <v>共通02</v>
      </c>
      <c r="E108" t="str">
        <f>問題!E4</f>
        <v>共通</v>
      </c>
      <c r="F108" t="str">
        <f>IF(問題!G4="●","〇","×")</f>
        <v>×</v>
      </c>
      <c r="G108" t="str">
        <f>IF(問題!I4="●","〇","×")</f>
        <v>〇</v>
      </c>
      <c r="H108" t="str">
        <f>IF(問題!K4="●","〇","×")</f>
        <v>×</v>
      </c>
      <c r="I108" t="str">
        <f>IF(問題!M4="●","〇","×")</f>
        <v>×</v>
      </c>
      <c r="J108" t="str">
        <f>IF(問題!O4="●","〇","×")</f>
        <v>×</v>
      </c>
    </row>
    <row r="109" spans="1:10">
      <c r="A109" t="str">
        <f>問題!A5</f>
        <v>00全班共通</v>
      </c>
      <c r="B109" t="str">
        <f>問題!B5</f>
        <v>シーン1</v>
      </c>
      <c r="C109">
        <f>問題!C5</f>
        <v>3</v>
      </c>
      <c r="D109" t="str">
        <f>問題!D5</f>
        <v>共通03</v>
      </c>
      <c r="E109" t="str">
        <f>問題!E5</f>
        <v>共通</v>
      </c>
      <c r="F109" t="str">
        <f>IF(問題!G5="●","〇","×")</f>
        <v>×</v>
      </c>
      <c r="G109" t="str">
        <f>IF(問題!I5="●","〇","×")</f>
        <v>×</v>
      </c>
      <c r="H109" t="str">
        <f>IF(問題!K5="●","〇","×")</f>
        <v>〇</v>
      </c>
      <c r="I109" t="str">
        <f>IF(問題!M5="●","〇","×")</f>
        <v>×</v>
      </c>
      <c r="J109" t="str">
        <f>IF(問題!O5="●","〇","×")</f>
        <v>×</v>
      </c>
    </row>
    <row r="110" spans="1:10">
      <c r="A110" t="str">
        <f>問題!A6</f>
        <v>00全班共通</v>
      </c>
      <c r="B110" t="str">
        <f>問題!B6</f>
        <v>シーン1</v>
      </c>
      <c r="C110">
        <f>問題!C6</f>
        <v>4</v>
      </c>
      <c r="D110" t="str">
        <f>問題!D6</f>
        <v>共通04</v>
      </c>
      <c r="E110" t="str">
        <f>問題!E6</f>
        <v>共通</v>
      </c>
      <c r="F110" t="str">
        <f>IF(問題!G6="●","〇","×")</f>
        <v>×</v>
      </c>
      <c r="G110" t="str">
        <f>IF(問題!I6="●","〇","×")</f>
        <v>〇</v>
      </c>
      <c r="H110" t="str">
        <f>IF(問題!K6="●","〇","×")</f>
        <v>×</v>
      </c>
      <c r="I110" t="str">
        <f>IF(問題!M6="●","〇","×")</f>
        <v>×</v>
      </c>
      <c r="J110" t="str">
        <f>IF(問題!O6="●","〇","×")</f>
        <v>〇</v>
      </c>
    </row>
    <row r="111" spans="1:10">
      <c r="A111" t="str">
        <f>問題!A7</f>
        <v>00全班共通</v>
      </c>
      <c r="B111" t="str">
        <f>問題!B7</f>
        <v>シーン1</v>
      </c>
      <c r="C111">
        <f>問題!C7</f>
        <v>5</v>
      </c>
      <c r="D111" t="str">
        <f>問題!D7</f>
        <v>共通05</v>
      </c>
      <c r="E111" t="str">
        <f>問題!E7</f>
        <v>共通</v>
      </c>
      <c r="F111" t="str">
        <f>IF(問題!G7="●","〇","×")</f>
        <v>×</v>
      </c>
      <c r="G111" t="str">
        <f>IF(問題!I7="●","〇","×")</f>
        <v>×</v>
      </c>
      <c r="H111" t="str">
        <f>IF(問題!K7="●","〇","×")</f>
        <v>×</v>
      </c>
      <c r="I111" t="str">
        <f>IF(問題!M7="●","〇","×")</f>
        <v>〇</v>
      </c>
      <c r="J111" t="str">
        <f>IF(問題!O7="●","〇","×")</f>
        <v>〇</v>
      </c>
    </row>
    <row r="112" spans="1:10">
      <c r="A112" t="str">
        <f>問題!A8</f>
        <v>00全班共通</v>
      </c>
      <c r="B112" t="str">
        <f>問題!B8</f>
        <v>シーン1</v>
      </c>
      <c r="C112">
        <f>問題!C8</f>
        <v>6</v>
      </c>
      <c r="D112" t="str">
        <f>問題!D8</f>
        <v>共通06</v>
      </c>
      <c r="E112" t="str">
        <f>問題!E8</f>
        <v>共通</v>
      </c>
      <c r="F112" t="str">
        <f>IF(問題!G8="●","〇","×")</f>
        <v>×</v>
      </c>
      <c r="G112" t="str">
        <f>IF(問題!I8="●","〇","×")</f>
        <v>〇</v>
      </c>
      <c r="H112" t="str">
        <f>IF(問題!K8="●","〇","×")</f>
        <v>〇</v>
      </c>
      <c r="I112" t="str">
        <f>IF(問題!M8="●","〇","×")</f>
        <v>〇</v>
      </c>
      <c r="J112" t="str">
        <f>IF(問題!O8="●","〇","×")</f>
        <v>×</v>
      </c>
    </row>
    <row r="113" spans="1:10">
      <c r="A113" t="str">
        <f>問題!A9</f>
        <v>00全班共通</v>
      </c>
      <c r="B113" t="str">
        <f>問題!B9</f>
        <v>シーン1</v>
      </c>
      <c r="C113">
        <f>問題!C9</f>
        <v>7</v>
      </c>
      <c r="D113" t="str">
        <f>問題!D9</f>
        <v>共通07</v>
      </c>
      <c r="E113" t="str">
        <f>問題!E9</f>
        <v>共通</v>
      </c>
      <c r="F113" t="str">
        <f>IF(問題!G9="●","〇","×")</f>
        <v>×</v>
      </c>
      <c r="G113" t="str">
        <f>IF(問題!I9="●","〇","×")</f>
        <v>〇</v>
      </c>
      <c r="H113" t="str">
        <f>IF(問題!K9="●","〇","×")</f>
        <v>×</v>
      </c>
      <c r="I113" t="str">
        <f>IF(問題!M9="●","〇","×")</f>
        <v>×</v>
      </c>
      <c r="J113" t="str">
        <f>IF(問題!O9="●","〇","×")</f>
        <v>〇</v>
      </c>
    </row>
    <row r="114" spans="1:10">
      <c r="A114" t="str">
        <f>問題!A10</f>
        <v>00全班共通</v>
      </c>
      <c r="B114" t="str">
        <f>問題!B10</f>
        <v>シーン1</v>
      </c>
      <c r="C114">
        <f>問題!C10</f>
        <v>8</v>
      </c>
      <c r="D114" t="str">
        <f>問題!D10</f>
        <v>共通08</v>
      </c>
      <c r="E114" t="str">
        <f>問題!E10</f>
        <v>共通</v>
      </c>
      <c r="F114" t="str">
        <f>IF(問題!G10="●","〇","×")</f>
        <v>×</v>
      </c>
      <c r="G114" t="str">
        <f>IF(問題!I10="●","〇","×")</f>
        <v>〇</v>
      </c>
      <c r="H114" t="str">
        <f>IF(問題!K10="●","〇","×")</f>
        <v>〇</v>
      </c>
      <c r="I114" t="str">
        <f>IF(問題!M10="●","〇","×")</f>
        <v>〇</v>
      </c>
      <c r="J114" t="str">
        <f>IF(問題!O10="●","〇","×")</f>
        <v>×</v>
      </c>
    </row>
    <row r="115" spans="1:10">
      <c r="A115" t="str">
        <f>問題!A39</f>
        <v>05お客様対応</v>
      </c>
      <c r="B115" t="str">
        <f>問題!B39</f>
        <v>シーン2</v>
      </c>
      <c r="C115">
        <f>問題!C39</f>
        <v>1</v>
      </c>
      <c r="D115" t="str">
        <f>問題!D39</f>
        <v>共通09</v>
      </c>
      <c r="E115" t="str">
        <f>問題!E39</f>
        <v>共通</v>
      </c>
      <c r="F115" t="str">
        <f>IF(問題!G39="●","〇","×")</f>
        <v>〇</v>
      </c>
      <c r="G115" t="str">
        <f>IF(問題!I39="●","〇","×")</f>
        <v>〇</v>
      </c>
      <c r="H115" t="str">
        <f>IF(問題!K39="●","〇","×")</f>
        <v>×</v>
      </c>
      <c r="I115" t="str">
        <f>IF(問題!M39="●","〇","×")</f>
        <v>×</v>
      </c>
      <c r="J115" t="str">
        <f>IF(問題!O39="●","〇","×")</f>
        <v>×</v>
      </c>
    </row>
    <row r="116" spans="1:10">
      <c r="A116" t="str">
        <f>問題!A40</f>
        <v>05お客様対応</v>
      </c>
      <c r="B116" t="str">
        <f>問題!B40</f>
        <v>シーン2</v>
      </c>
      <c r="C116">
        <f>問題!C40</f>
        <v>2</v>
      </c>
      <c r="D116" t="str">
        <f>問題!D40</f>
        <v>共通10</v>
      </c>
      <c r="E116" t="str">
        <f>問題!E40</f>
        <v>共通</v>
      </c>
      <c r="F116" t="str">
        <f>IF(問題!G40="●","〇","×")</f>
        <v>〇</v>
      </c>
      <c r="G116" t="str">
        <f>IF(問題!I40="●","〇","×")</f>
        <v>×</v>
      </c>
      <c r="H116" t="str">
        <f>IF(問題!K40="●","〇","×")</f>
        <v>×</v>
      </c>
      <c r="I116" t="str">
        <f>IF(問題!M40="●","〇","×")</f>
        <v>×</v>
      </c>
      <c r="J116" t="str">
        <f>IF(問題!O40="●","〇","×")</f>
        <v>〇</v>
      </c>
    </row>
    <row r="117" spans="1:10">
      <c r="A117" t="str">
        <f>問題!A41</f>
        <v>05お客様対応</v>
      </c>
      <c r="B117" t="str">
        <f>問題!B41</f>
        <v>シーン2</v>
      </c>
      <c r="C117">
        <f>問題!C41</f>
        <v>3</v>
      </c>
      <c r="D117" t="str">
        <f>問題!D41</f>
        <v>個別</v>
      </c>
      <c r="E117" t="str">
        <f>問題!E41</f>
        <v>個別</v>
      </c>
      <c r="F117" t="str">
        <f>IF(問題!G41="●","〇","×")</f>
        <v>〇</v>
      </c>
      <c r="G117" t="str">
        <f>IF(問題!I41="●","〇","×")</f>
        <v>〇</v>
      </c>
      <c r="H117" t="str">
        <f>IF(問題!K41="●","〇","×")</f>
        <v>×</v>
      </c>
      <c r="I117" t="str">
        <f>IF(問題!M41="●","〇","×")</f>
        <v>×</v>
      </c>
      <c r="J117" t="str">
        <f>IF(問題!O41="●","〇","×")</f>
        <v>×</v>
      </c>
    </row>
    <row r="118" spans="1:10">
      <c r="A118" t="str">
        <f>問題!A42</f>
        <v>05お客様対応</v>
      </c>
      <c r="B118" t="str">
        <f>問題!B42</f>
        <v>シーン2</v>
      </c>
      <c r="C118">
        <f>問題!C42</f>
        <v>4</v>
      </c>
      <c r="D118" t="str">
        <f>問題!D42</f>
        <v>個別</v>
      </c>
      <c r="E118" t="str">
        <f>問題!E42</f>
        <v>個別</v>
      </c>
      <c r="F118" t="str">
        <f>IF(問題!G42="●","〇","×")</f>
        <v>〇</v>
      </c>
      <c r="G118" t="str">
        <f>IF(問題!I42="●","〇","×")</f>
        <v>〇</v>
      </c>
      <c r="H118" t="str">
        <f>IF(問題!K42="●","〇","×")</f>
        <v>×</v>
      </c>
      <c r="I118" t="str">
        <f>IF(問題!M42="●","〇","×")</f>
        <v>×</v>
      </c>
      <c r="J118" t="str">
        <f>IF(問題!O42="●","〇","×")</f>
        <v>×</v>
      </c>
    </row>
    <row r="119" spans="1:10">
      <c r="A119" t="str">
        <f>問題!A43</f>
        <v>05お客様対応</v>
      </c>
      <c r="B119" t="str">
        <f>問題!B43</f>
        <v>シーン2</v>
      </c>
      <c r="C119">
        <f>問題!C43</f>
        <v>5</v>
      </c>
      <c r="D119" t="str">
        <f>問題!D43</f>
        <v>個別</v>
      </c>
      <c r="E119" t="str">
        <f>問題!E43</f>
        <v>個別</v>
      </c>
      <c r="F119" t="str">
        <f>IF(問題!G43="●","〇","×")</f>
        <v>×</v>
      </c>
      <c r="G119" t="str">
        <f>IF(問題!I43="●","〇","×")</f>
        <v>〇</v>
      </c>
      <c r="H119" t="str">
        <f>IF(問題!K43="●","〇","×")</f>
        <v>×</v>
      </c>
      <c r="I119" t="str">
        <f>IF(問題!M43="●","〇","×")</f>
        <v>×</v>
      </c>
      <c r="J119" t="str">
        <f>IF(問題!O43="●","〇","×")</f>
        <v>×</v>
      </c>
    </row>
    <row r="120" spans="1:10">
      <c r="A120" t="str">
        <f>問題!A44</f>
        <v>05お客様対応</v>
      </c>
      <c r="B120" t="str">
        <f>問題!B44</f>
        <v>シーン2</v>
      </c>
      <c r="C120">
        <f>問題!C44</f>
        <v>6</v>
      </c>
      <c r="D120" t="str">
        <f>問題!D44</f>
        <v>個別</v>
      </c>
      <c r="E120" t="str">
        <f>問題!E44</f>
        <v>個別</v>
      </c>
      <c r="F120" t="str">
        <f>IF(問題!G44="●","〇","×")</f>
        <v>〇</v>
      </c>
      <c r="G120" t="str">
        <f>IF(問題!I44="●","〇","×")</f>
        <v>×</v>
      </c>
      <c r="H120" t="str">
        <f>IF(問題!K44="●","〇","×")</f>
        <v>×</v>
      </c>
      <c r="I120" t="str">
        <f>IF(問題!M44="●","〇","×")</f>
        <v>×</v>
      </c>
      <c r="J120" t="str">
        <f>IF(問題!O44="●","〇","×")</f>
        <v>〇</v>
      </c>
    </row>
    <row r="121" spans="1:10">
      <c r="A121" t="str">
        <f>問題!A45</f>
        <v>05お客様対応</v>
      </c>
      <c r="B121" t="str">
        <f>問題!B45</f>
        <v>シーン2</v>
      </c>
      <c r="C121">
        <f>問題!C45</f>
        <v>7</v>
      </c>
      <c r="D121" t="str">
        <f>問題!D45</f>
        <v>共通11</v>
      </c>
      <c r="E121" t="str">
        <f>問題!E45</f>
        <v>共通</v>
      </c>
      <c r="F121" t="str">
        <f>IF(問題!G45="●","〇","×")</f>
        <v>〇</v>
      </c>
      <c r="G121" t="str">
        <f>IF(問題!I45="●","〇","×")</f>
        <v>×</v>
      </c>
      <c r="H121" t="str">
        <f>IF(問題!K45="●","〇","×")</f>
        <v>×</v>
      </c>
      <c r="I121" t="str">
        <f>IF(問題!M45="●","〇","×")</f>
        <v>×</v>
      </c>
      <c r="J121" t="str">
        <f>IF(問題!O45="●","〇","×")</f>
        <v>×</v>
      </c>
    </row>
    <row r="122" spans="1:10">
      <c r="A122" t="str">
        <f>問題!A109</f>
        <v>05お客様対応</v>
      </c>
      <c r="B122" t="str">
        <f>問題!B109</f>
        <v>シーン3</v>
      </c>
      <c r="C122">
        <f>問題!C109</f>
        <v>1</v>
      </c>
      <c r="D122" t="str">
        <f>問題!D109</f>
        <v>共通12</v>
      </c>
      <c r="E122" t="str">
        <f>問題!E109</f>
        <v>共通</v>
      </c>
      <c r="F122" t="str">
        <f>IF(問題!G109="●","〇","×")</f>
        <v>〇</v>
      </c>
      <c r="G122" t="str">
        <f>IF(問題!I109="●","〇","×")</f>
        <v>×</v>
      </c>
      <c r="H122" t="str">
        <f>IF(問題!K109="●","〇","×")</f>
        <v>×</v>
      </c>
      <c r="I122" t="str">
        <f>IF(問題!M109="●","〇","×")</f>
        <v>×</v>
      </c>
      <c r="J122" t="str">
        <f>IF(問題!O109="●","〇","×")</f>
        <v>〇</v>
      </c>
    </row>
    <row r="123" spans="1:10">
      <c r="A123" t="str">
        <f>問題!A110</f>
        <v>05お客様対応</v>
      </c>
      <c r="B123" t="str">
        <f>問題!B110</f>
        <v>シーン3</v>
      </c>
      <c r="C123">
        <f>問題!C110</f>
        <v>2</v>
      </c>
      <c r="D123" t="str">
        <f>問題!D110</f>
        <v>個別</v>
      </c>
      <c r="E123" t="str">
        <f>問題!E110</f>
        <v>個別</v>
      </c>
      <c r="F123" t="str">
        <f>IF(問題!G110="●","〇","×")</f>
        <v>×</v>
      </c>
      <c r="G123" t="str">
        <f>IF(問題!I110="●","〇","×")</f>
        <v>〇</v>
      </c>
      <c r="H123" t="str">
        <f>IF(問題!K110="●","〇","×")</f>
        <v>〇</v>
      </c>
      <c r="I123" t="str">
        <f>IF(問題!M110="●","〇","×")</f>
        <v>×</v>
      </c>
      <c r="J123" t="str">
        <f>IF(問題!O110="●","〇","×")</f>
        <v>×</v>
      </c>
    </row>
    <row r="124" spans="1:10">
      <c r="A124" t="str">
        <f>問題!A111</f>
        <v>05お客様対応</v>
      </c>
      <c r="B124" t="str">
        <f>問題!B111</f>
        <v>シーン3</v>
      </c>
      <c r="C124">
        <f>問題!C111</f>
        <v>3</v>
      </c>
      <c r="D124" t="str">
        <f>問題!D111</f>
        <v>共通13</v>
      </c>
      <c r="E124" t="str">
        <f>問題!E111</f>
        <v>共通</v>
      </c>
      <c r="F124" t="str">
        <f>IF(問題!G111="●","〇","×")</f>
        <v>〇</v>
      </c>
      <c r="G124" t="str">
        <f>IF(問題!I111="●","〇","×")</f>
        <v>〇</v>
      </c>
      <c r="H124" t="str">
        <f>IF(問題!K111="●","〇","×")</f>
        <v>×</v>
      </c>
      <c r="I124" t="str">
        <f>IF(問題!M111="●","〇","×")</f>
        <v>×</v>
      </c>
      <c r="J124" t="str">
        <f>IF(問題!O111="●","〇","×")</f>
        <v>〇</v>
      </c>
    </row>
    <row r="125" spans="1:10">
      <c r="A125" t="str">
        <f>問題!A112</f>
        <v>05お客様対応</v>
      </c>
      <c r="B125" t="str">
        <f>問題!B112</f>
        <v>シーン3</v>
      </c>
      <c r="C125">
        <f>問題!C112</f>
        <v>4</v>
      </c>
      <c r="D125" t="str">
        <f>問題!D112</f>
        <v>個別</v>
      </c>
      <c r="E125" t="str">
        <f>問題!E112</f>
        <v>個別</v>
      </c>
      <c r="F125" t="str">
        <f>IF(問題!G112="●","〇","×")</f>
        <v>×</v>
      </c>
      <c r="G125" t="str">
        <f>IF(問題!I112="●","〇","×")</f>
        <v>〇</v>
      </c>
      <c r="H125" t="str">
        <f>IF(問題!K112="●","〇","×")</f>
        <v>×</v>
      </c>
      <c r="I125" t="str">
        <f>IF(問題!M112="●","〇","×")</f>
        <v>×</v>
      </c>
      <c r="J125" t="str">
        <f>IF(問題!O112="●","〇","×")</f>
        <v>×</v>
      </c>
    </row>
    <row r="126" spans="1:10">
      <c r="A126" t="str">
        <f>問題!A113</f>
        <v>05お客様対応</v>
      </c>
      <c r="B126" t="str">
        <f>問題!B113</f>
        <v>シーン3</v>
      </c>
      <c r="C126">
        <f>問題!C113</f>
        <v>5</v>
      </c>
      <c r="D126" t="str">
        <f>問題!D113</f>
        <v>個別</v>
      </c>
      <c r="E126" t="str">
        <f>問題!E113</f>
        <v>個別</v>
      </c>
      <c r="F126" t="str">
        <f>IF(問題!G113="●","〇","×")</f>
        <v>×</v>
      </c>
      <c r="G126" t="str">
        <f>IF(問題!I113="●","〇","×")</f>
        <v>〇</v>
      </c>
      <c r="H126" t="str">
        <f>IF(問題!K113="●","〇","×")</f>
        <v>×</v>
      </c>
      <c r="I126" t="str">
        <f>IF(問題!M113="●","〇","×")</f>
        <v>×</v>
      </c>
      <c r="J126" t="str">
        <f>IF(問題!O113="●","〇","×")</f>
        <v>〇</v>
      </c>
    </row>
    <row r="127" spans="1:10">
      <c r="A127" t="str">
        <f>問題!A114</f>
        <v>05お客様対応</v>
      </c>
      <c r="B127" t="str">
        <f>問題!B114</f>
        <v>シーン3</v>
      </c>
      <c r="C127">
        <f>問題!C114</f>
        <v>6</v>
      </c>
      <c r="D127" t="str">
        <f>問題!D114</f>
        <v>個別</v>
      </c>
      <c r="E127" t="str">
        <f>問題!E114</f>
        <v>個別</v>
      </c>
      <c r="F127" t="str">
        <f>IF(問題!G114="●","〇","×")</f>
        <v>×</v>
      </c>
      <c r="G127" t="str">
        <f>IF(問題!I114="●","〇","×")</f>
        <v>×</v>
      </c>
      <c r="H127" t="str">
        <f>IF(問題!K114="●","〇","×")</f>
        <v>×</v>
      </c>
      <c r="I127" t="str">
        <f>IF(問題!M114="●","〇","×")</f>
        <v>×</v>
      </c>
      <c r="J127" t="str">
        <f>IF(問題!O114="●","〇","×")</f>
        <v>〇</v>
      </c>
    </row>
    <row r="128" spans="1:10">
      <c r="A128" t="str">
        <f>問題!A115</f>
        <v>05お客様対応</v>
      </c>
      <c r="B128" t="str">
        <f>問題!B115</f>
        <v>シーン3</v>
      </c>
      <c r="C128">
        <f>問題!C115</f>
        <v>7</v>
      </c>
      <c r="D128" t="str">
        <f>問題!D115</f>
        <v>共通14</v>
      </c>
      <c r="E128" t="str">
        <f>問題!E115</f>
        <v>共通</v>
      </c>
      <c r="F128" t="str">
        <f>IF(問題!G115="●","〇","×")</f>
        <v>×</v>
      </c>
      <c r="G128" t="str">
        <f>IF(問題!I115="●","〇","×")</f>
        <v>×</v>
      </c>
      <c r="H128" t="str">
        <f>IF(問題!K115="●","〇","×")</f>
        <v>〇</v>
      </c>
      <c r="I128" t="str">
        <f>IF(問題!M115="●","〇","×")</f>
        <v>〇</v>
      </c>
      <c r="J128" t="str">
        <f>IF(問題!O115="●","〇","×")</f>
        <v>〇</v>
      </c>
    </row>
    <row r="129" spans="1:10">
      <c r="A129" s="63" t="s">
        <v>357</v>
      </c>
      <c r="B129" s="63"/>
      <c r="C129" s="63"/>
      <c r="D129" s="63"/>
      <c r="E129" s="63" t="s">
        <v>367</v>
      </c>
      <c r="F129" s="63">
        <f>COUNTIF(F107:F128,"〇")</f>
        <v>8</v>
      </c>
      <c r="G129" s="63">
        <f>COUNTIF(G107:G128,"〇")</f>
        <v>14</v>
      </c>
      <c r="H129" s="63">
        <f>COUNTIF(H107:H128,"〇")</f>
        <v>5</v>
      </c>
      <c r="I129" s="63">
        <f>COUNTIF(I107:I128,"〇")</f>
        <v>5</v>
      </c>
      <c r="J129" s="63">
        <f>COUNTIF(J107:J128,"〇")</f>
        <v>11</v>
      </c>
    </row>
    <row r="131" spans="1:10" ht="19.899999999999999">
      <c r="A131" s="68" t="s">
        <v>372</v>
      </c>
      <c r="B131" s="68"/>
      <c r="C131" s="68"/>
      <c r="D131" s="68"/>
      <c r="E131" s="68"/>
      <c r="F131" s="68"/>
      <c r="G131" s="68"/>
      <c r="H131" s="68"/>
      <c r="I131" s="68"/>
      <c r="J131" s="68"/>
    </row>
    <row r="132" spans="1:10">
      <c r="A132" s="62" t="s">
        <v>358</v>
      </c>
      <c r="B132" s="62" t="s">
        <v>331</v>
      </c>
      <c r="C132" s="62" t="s">
        <v>360</v>
      </c>
      <c r="D132" s="62" t="s">
        <v>361</v>
      </c>
      <c r="E132" s="62" t="s">
        <v>362</v>
      </c>
      <c r="F132" s="62" t="s">
        <v>333</v>
      </c>
      <c r="G132" s="62" t="s">
        <v>363</v>
      </c>
      <c r="H132" s="62" t="s">
        <v>364</v>
      </c>
      <c r="I132" s="62" t="s">
        <v>365</v>
      </c>
      <c r="J132" s="62" t="s">
        <v>366</v>
      </c>
    </row>
    <row r="133" spans="1:10">
      <c r="A133" t="str">
        <f>問題!A3</f>
        <v>00全班共通</v>
      </c>
      <c r="B133" t="str">
        <f>問題!B3</f>
        <v>シーン1</v>
      </c>
      <c r="C133">
        <f>問題!C3</f>
        <v>1</v>
      </c>
      <c r="D133" t="str">
        <f>問題!D3</f>
        <v>共通01</v>
      </c>
      <c r="E133" t="str">
        <f>問題!E3</f>
        <v>共通</v>
      </c>
      <c r="F133" t="str">
        <f>IF(問題!G3="●","〇","×")</f>
        <v>×</v>
      </c>
      <c r="G133" t="str">
        <f>IF(問題!I3="●","〇","×")</f>
        <v>〇</v>
      </c>
      <c r="H133" t="str">
        <f>IF(問題!K3="●","〇","×")</f>
        <v>×</v>
      </c>
      <c r="I133" t="str">
        <f>IF(問題!M3="●","〇","×")</f>
        <v>〇</v>
      </c>
      <c r="J133" t="str">
        <f>IF(問題!O3="●","〇","×")</f>
        <v>〇</v>
      </c>
    </row>
    <row r="134" spans="1:10">
      <c r="A134" t="str">
        <f>問題!A4</f>
        <v>00全班共通</v>
      </c>
      <c r="B134" t="str">
        <f>問題!B4</f>
        <v>シーン1</v>
      </c>
      <c r="C134">
        <f>問題!C4</f>
        <v>2</v>
      </c>
      <c r="D134" t="str">
        <f>問題!D4</f>
        <v>共通02</v>
      </c>
      <c r="E134" t="str">
        <f>問題!E4</f>
        <v>共通</v>
      </c>
      <c r="F134" t="str">
        <f>IF(問題!G4="●","〇","×")</f>
        <v>×</v>
      </c>
      <c r="G134" t="str">
        <f>IF(問題!I4="●","〇","×")</f>
        <v>〇</v>
      </c>
      <c r="H134" t="str">
        <f>IF(問題!K4="●","〇","×")</f>
        <v>×</v>
      </c>
      <c r="I134" t="str">
        <f>IF(問題!M4="●","〇","×")</f>
        <v>×</v>
      </c>
      <c r="J134" t="str">
        <f>IF(問題!O4="●","〇","×")</f>
        <v>×</v>
      </c>
    </row>
    <row r="135" spans="1:10">
      <c r="A135" t="str">
        <f>問題!A5</f>
        <v>00全班共通</v>
      </c>
      <c r="B135" t="str">
        <f>問題!B5</f>
        <v>シーン1</v>
      </c>
      <c r="C135">
        <f>問題!C5</f>
        <v>3</v>
      </c>
      <c r="D135" t="str">
        <f>問題!D5</f>
        <v>共通03</v>
      </c>
      <c r="E135" t="str">
        <f>問題!E5</f>
        <v>共通</v>
      </c>
      <c r="F135" t="str">
        <f>IF(問題!G5="●","〇","×")</f>
        <v>×</v>
      </c>
      <c r="G135" t="str">
        <f>IF(問題!I5="●","〇","×")</f>
        <v>×</v>
      </c>
      <c r="H135" t="str">
        <f>IF(問題!K5="●","〇","×")</f>
        <v>〇</v>
      </c>
      <c r="I135" t="str">
        <f>IF(問題!M5="●","〇","×")</f>
        <v>×</v>
      </c>
      <c r="J135" t="str">
        <f>IF(問題!O5="●","〇","×")</f>
        <v>×</v>
      </c>
    </row>
    <row r="136" spans="1:10">
      <c r="A136" t="str">
        <f>問題!A6</f>
        <v>00全班共通</v>
      </c>
      <c r="B136" t="str">
        <f>問題!B6</f>
        <v>シーン1</v>
      </c>
      <c r="C136">
        <f>問題!C6</f>
        <v>4</v>
      </c>
      <c r="D136" t="str">
        <f>問題!D6</f>
        <v>共通04</v>
      </c>
      <c r="E136" t="str">
        <f>問題!E6</f>
        <v>共通</v>
      </c>
      <c r="F136" t="str">
        <f>IF(問題!G6="●","〇","×")</f>
        <v>×</v>
      </c>
      <c r="G136" t="str">
        <f>IF(問題!I6="●","〇","×")</f>
        <v>〇</v>
      </c>
      <c r="H136" t="str">
        <f>IF(問題!K6="●","〇","×")</f>
        <v>×</v>
      </c>
      <c r="I136" t="str">
        <f>IF(問題!M6="●","〇","×")</f>
        <v>×</v>
      </c>
      <c r="J136" t="str">
        <f>IF(問題!O6="●","〇","×")</f>
        <v>〇</v>
      </c>
    </row>
    <row r="137" spans="1:10">
      <c r="A137" t="str">
        <f>問題!A7</f>
        <v>00全班共通</v>
      </c>
      <c r="B137" t="str">
        <f>問題!B7</f>
        <v>シーン1</v>
      </c>
      <c r="C137">
        <f>問題!C7</f>
        <v>5</v>
      </c>
      <c r="D137" t="str">
        <f>問題!D7</f>
        <v>共通05</v>
      </c>
      <c r="E137" t="str">
        <f>問題!E7</f>
        <v>共通</v>
      </c>
      <c r="F137" t="str">
        <f>IF(問題!G7="●","〇","×")</f>
        <v>×</v>
      </c>
      <c r="G137" t="str">
        <f>IF(問題!I7="●","〇","×")</f>
        <v>×</v>
      </c>
      <c r="H137" t="str">
        <f>IF(問題!K7="●","〇","×")</f>
        <v>×</v>
      </c>
      <c r="I137" t="str">
        <f>IF(問題!M7="●","〇","×")</f>
        <v>〇</v>
      </c>
      <c r="J137" t="str">
        <f>IF(問題!O7="●","〇","×")</f>
        <v>〇</v>
      </c>
    </row>
    <row r="138" spans="1:10">
      <c r="A138" t="str">
        <f>問題!A8</f>
        <v>00全班共通</v>
      </c>
      <c r="B138" t="str">
        <f>問題!B8</f>
        <v>シーン1</v>
      </c>
      <c r="C138">
        <f>問題!C8</f>
        <v>6</v>
      </c>
      <c r="D138" t="str">
        <f>問題!D8</f>
        <v>共通06</v>
      </c>
      <c r="E138" t="str">
        <f>問題!E8</f>
        <v>共通</v>
      </c>
      <c r="F138" t="str">
        <f>IF(問題!G8="●","〇","×")</f>
        <v>×</v>
      </c>
      <c r="G138" t="str">
        <f>IF(問題!I8="●","〇","×")</f>
        <v>〇</v>
      </c>
      <c r="H138" t="str">
        <f>IF(問題!K8="●","〇","×")</f>
        <v>〇</v>
      </c>
      <c r="I138" t="str">
        <f>IF(問題!M8="●","〇","×")</f>
        <v>〇</v>
      </c>
      <c r="J138" t="str">
        <f>IF(問題!O8="●","〇","×")</f>
        <v>×</v>
      </c>
    </row>
    <row r="139" spans="1:10">
      <c r="A139" t="str">
        <f>問題!A9</f>
        <v>00全班共通</v>
      </c>
      <c r="B139" t="str">
        <f>問題!B9</f>
        <v>シーン1</v>
      </c>
      <c r="C139">
        <f>問題!C9</f>
        <v>7</v>
      </c>
      <c r="D139" t="str">
        <f>問題!D9</f>
        <v>共通07</v>
      </c>
      <c r="E139" t="str">
        <f>問題!E9</f>
        <v>共通</v>
      </c>
      <c r="F139" t="str">
        <f>IF(問題!G9="●","〇","×")</f>
        <v>×</v>
      </c>
      <c r="G139" t="str">
        <f>IF(問題!I9="●","〇","×")</f>
        <v>〇</v>
      </c>
      <c r="H139" t="str">
        <f>IF(問題!K9="●","〇","×")</f>
        <v>×</v>
      </c>
      <c r="I139" t="str">
        <f>IF(問題!M9="●","〇","×")</f>
        <v>×</v>
      </c>
      <c r="J139" t="str">
        <f>IF(問題!O9="●","〇","×")</f>
        <v>〇</v>
      </c>
    </row>
    <row r="140" spans="1:10">
      <c r="A140" t="str">
        <f>問題!A10</f>
        <v>00全班共通</v>
      </c>
      <c r="B140" t="str">
        <f>問題!B10</f>
        <v>シーン1</v>
      </c>
      <c r="C140">
        <f>問題!C10</f>
        <v>8</v>
      </c>
      <c r="D140" t="str">
        <f>問題!D10</f>
        <v>共通08</v>
      </c>
      <c r="E140" t="str">
        <f>問題!E10</f>
        <v>共通</v>
      </c>
      <c r="F140" t="str">
        <f>IF(問題!G10="●","〇","×")</f>
        <v>×</v>
      </c>
      <c r="G140" t="str">
        <f>IF(問題!I10="●","〇","×")</f>
        <v>〇</v>
      </c>
      <c r="H140" t="str">
        <f>IF(問題!K10="●","〇","×")</f>
        <v>〇</v>
      </c>
      <c r="I140" t="str">
        <f>IF(問題!M10="●","〇","×")</f>
        <v>〇</v>
      </c>
      <c r="J140" t="str">
        <f>IF(問題!O10="●","〇","×")</f>
        <v>×</v>
      </c>
    </row>
    <row r="141" spans="1:10">
      <c r="A141" t="str">
        <f>問題!A46</f>
        <v>06設備</v>
      </c>
      <c r="B141" t="str">
        <f>問題!B46</f>
        <v>シーン2</v>
      </c>
      <c r="C141">
        <f>問題!C46</f>
        <v>1</v>
      </c>
      <c r="D141" t="str">
        <f>問題!D46</f>
        <v>共通09</v>
      </c>
      <c r="E141" t="str">
        <f>問題!E46</f>
        <v>共通</v>
      </c>
      <c r="F141" t="str">
        <f>IF(問題!G46="●","〇","×")</f>
        <v>〇</v>
      </c>
      <c r="G141" t="str">
        <f>IF(問題!I46="●","〇","×")</f>
        <v>〇</v>
      </c>
      <c r="H141" t="str">
        <f>IF(問題!K46="●","〇","×")</f>
        <v>×</v>
      </c>
      <c r="I141" t="str">
        <f>IF(問題!M46="●","〇","×")</f>
        <v>×</v>
      </c>
      <c r="J141" t="str">
        <f>IF(問題!O46="●","〇","×")</f>
        <v>×</v>
      </c>
    </row>
    <row r="142" spans="1:10">
      <c r="A142" t="str">
        <f>問題!A47</f>
        <v>06設備</v>
      </c>
      <c r="B142" t="str">
        <f>問題!B47</f>
        <v>シーン2</v>
      </c>
      <c r="C142">
        <f>問題!C47</f>
        <v>2</v>
      </c>
      <c r="D142" t="str">
        <f>問題!D47</f>
        <v>共通10</v>
      </c>
      <c r="E142" t="str">
        <f>問題!E47</f>
        <v>共通</v>
      </c>
      <c r="F142" t="str">
        <f>IF(問題!G47="●","〇","×")</f>
        <v>〇</v>
      </c>
      <c r="G142" t="str">
        <f>IF(問題!I47="●","〇","×")</f>
        <v>×</v>
      </c>
      <c r="H142" t="str">
        <f>IF(問題!K47="●","〇","×")</f>
        <v>×</v>
      </c>
      <c r="I142" t="str">
        <f>IF(問題!M47="●","〇","×")</f>
        <v>×</v>
      </c>
      <c r="J142" t="str">
        <f>IF(問題!O47="●","〇","×")</f>
        <v>〇</v>
      </c>
    </row>
    <row r="143" spans="1:10">
      <c r="A143" t="str">
        <f>問題!A48</f>
        <v>06設備</v>
      </c>
      <c r="B143" t="str">
        <f>問題!B48</f>
        <v>シーン2</v>
      </c>
      <c r="C143">
        <f>問題!C48</f>
        <v>3</v>
      </c>
      <c r="D143" t="str">
        <f>問題!D48</f>
        <v>個別</v>
      </c>
      <c r="E143" t="str">
        <f>問題!E48</f>
        <v>個別</v>
      </c>
      <c r="F143" t="str">
        <f>IF(問題!G48="●","〇","×")</f>
        <v>〇</v>
      </c>
      <c r="G143" t="str">
        <f>IF(問題!I48="●","〇","×")</f>
        <v>×</v>
      </c>
      <c r="H143" t="str">
        <f>IF(問題!K48="●","〇","×")</f>
        <v>×</v>
      </c>
      <c r="I143" t="str">
        <f>IF(問題!M48="●","〇","×")</f>
        <v>×</v>
      </c>
      <c r="J143" t="str">
        <f>IF(問題!O48="●","〇","×")</f>
        <v>〇</v>
      </c>
    </row>
    <row r="144" spans="1:10">
      <c r="A144" t="str">
        <f>問題!A49</f>
        <v>06設備</v>
      </c>
      <c r="B144" t="str">
        <f>問題!B49</f>
        <v>シーン2</v>
      </c>
      <c r="C144">
        <f>問題!C49</f>
        <v>4</v>
      </c>
      <c r="D144" t="str">
        <f>問題!D49</f>
        <v>個別</v>
      </c>
      <c r="E144" t="str">
        <f>問題!E49</f>
        <v>個別</v>
      </c>
      <c r="F144" t="str">
        <f>IF(問題!G49="●","〇","×")</f>
        <v>×</v>
      </c>
      <c r="G144" t="str">
        <f>IF(問題!I49="●","〇","×")</f>
        <v>〇</v>
      </c>
      <c r="H144" t="str">
        <f>IF(問題!K49="●","〇","×")</f>
        <v>×</v>
      </c>
      <c r="I144" t="str">
        <f>IF(問題!M49="●","〇","×")</f>
        <v>×</v>
      </c>
      <c r="J144" t="str">
        <f>IF(問題!O49="●","〇","×")</f>
        <v>〇</v>
      </c>
    </row>
    <row r="145" spans="1:10">
      <c r="A145" t="str">
        <f>問題!A50</f>
        <v>06設備</v>
      </c>
      <c r="B145" t="str">
        <f>問題!B50</f>
        <v>シーン2</v>
      </c>
      <c r="C145">
        <f>問題!C50</f>
        <v>5</v>
      </c>
      <c r="D145" t="str">
        <f>問題!D50</f>
        <v>個別</v>
      </c>
      <c r="E145" t="str">
        <f>問題!E50</f>
        <v>個別</v>
      </c>
      <c r="F145" t="str">
        <f>IF(問題!G50="●","〇","×")</f>
        <v>×</v>
      </c>
      <c r="G145" t="str">
        <f>IF(問題!I50="●","〇","×")</f>
        <v>〇</v>
      </c>
      <c r="H145" t="str">
        <f>IF(問題!K50="●","〇","×")</f>
        <v>×</v>
      </c>
      <c r="I145" t="str">
        <f>IF(問題!M50="●","〇","×")</f>
        <v>〇</v>
      </c>
      <c r="J145" t="str">
        <f>IF(問題!O50="●","〇","×")</f>
        <v>〇</v>
      </c>
    </row>
    <row r="146" spans="1:10">
      <c r="A146" t="str">
        <f>問題!A51</f>
        <v>06設備</v>
      </c>
      <c r="B146" t="str">
        <f>問題!B51</f>
        <v>シーン2</v>
      </c>
      <c r="C146">
        <f>問題!C51</f>
        <v>6</v>
      </c>
      <c r="D146" t="str">
        <f>問題!D51</f>
        <v>個別</v>
      </c>
      <c r="E146" t="str">
        <f>問題!E51</f>
        <v>個別</v>
      </c>
      <c r="F146" t="str">
        <f>IF(問題!G51="●","〇","×")</f>
        <v>〇</v>
      </c>
      <c r="G146" t="str">
        <f>IF(問題!I51="●","〇","×")</f>
        <v>×</v>
      </c>
      <c r="H146" t="str">
        <f>IF(問題!K51="●","〇","×")</f>
        <v>〇</v>
      </c>
      <c r="I146" t="str">
        <f>IF(問題!M51="●","〇","×")</f>
        <v>×</v>
      </c>
      <c r="J146" t="str">
        <f>IF(問題!O51="●","〇","×")</f>
        <v>〇</v>
      </c>
    </row>
    <row r="147" spans="1:10">
      <c r="A147" t="str">
        <f>問題!A52</f>
        <v>06設備</v>
      </c>
      <c r="B147" t="str">
        <f>問題!B52</f>
        <v>シーン2</v>
      </c>
      <c r="C147">
        <f>問題!C52</f>
        <v>7</v>
      </c>
      <c r="D147" t="str">
        <f>問題!D52</f>
        <v>共通11</v>
      </c>
      <c r="E147" t="str">
        <f>問題!E52</f>
        <v>共通</v>
      </c>
      <c r="F147" t="str">
        <f>IF(問題!G52="●","〇","×")</f>
        <v>〇</v>
      </c>
      <c r="G147" t="str">
        <f>IF(問題!I52="●","〇","×")</f>
        <v>×</v>
      </c>
      <c r="H147" t="str">
        <f>IF(問題!K52="●","〇","×")</f>
        <v>×</v>
      </c>
      <c r="I147" t="str">
        <f>IF(問題!M52="●","〇","×")</f>
        <v>×</v>
      </c>
      <c r="J147" t="str">
        <f>IF(問題!O52="●","〇","×")</f>
        <v>×</v>
      </c>
    </row>
    <row r="148" spans="1:10">
      <c r="A148" t="str">
        <f>問題!A116</f>
        <v>06設備</v>
      </c>
      <c r="B148" t="str">
        <f>問題!B116</f>
        <v>シーン3</v>
      </c>
      <c r="C148">
        <f>問題!C116</f>
        <v>1</v>
      </c>
      <c r="D148" t="str">
        <f>問題!D116</f>
        <v>共通12</v>
      </c>
      <c r="E148" t="str">
        <f>問題!E116</f>
        <v>共通</v>
      </c>
      <c r="F148" t="str">
        <f>IF(問題!G116="●","〇","×")</f>
        <v>〇</v>
      </c>
      <c r="G148" t="str">
        <f>IF(問題!I116="●","〇","×")</f>
        <v>×</v>
      </c>
      <c r="H148" t="str">
        <f>IF(問題!K116="●","〇","×")</f>
        <v>×</v>
      </c>
      <c r="I148" t="str">
        <f>IF(問題!M116="●","〇","×")</f>
        <v>×</v>
      </c>
      <c r="J148" t="str">
        <f>IF(問題!O116="●","〇","×")</f>
        <v>〇</v>
      </c>
    </row>
    <row r="149" spans="1:10">
      <c r="A149" t="str">
        <f>問題!A117</f>
        <v>06設備</v>
      </c>
      <c r="B149" t="str">
        <f>問題!B117</f>
        <v>シーン3</v>
      </c>
      <c r="C149">
        <f>問題!C117</f>
        <v>2</v>
      </c>
      <c r="D149" t="str">
        <f>問題!D117</f>
        <v>共通13</v>
      </c>
      <c r="E149" t="str">
        <f>問題!E117</f>
        <v>共通</v>
      </c>
      <c r="F149" t="str">
        <f>IF(問題!G117="●","〇","×")</f>
        <v>〇</v>
      </c>
      <c r="G149" t="str">
        <f>IF(問題!I117="●","〇","×")</f>
        <v>〇</v>
      </c>
      <c r="H149" t="str">
        <f>IF(問題!K117="●","〇","×")</f>
        <v>×</v>
      </c>
      <c r="I149" t="str">
        <f>IF(問題!M117="●","〇","×")</f>
        <v>×</v>
      </c>
      <c r="J149" t="str">
        <f>IF(問題!O117="●","〇","×")</f>
        <v>〇</v>
      </c>
    </row>
    <row r="150" spans="1:10">
      <c r="A150" t="str">
        <f>問題!A118</f>
        <v>06設備</v>
      </c>
      <c r="B150" t="str">
        <f>問題!B118</f>
        <v>シーン3</v>
      </c>
      <c r="C150">
        <f>問題!C118</f>
        <v>3</v>
      </c>
      <c r="D150" t="str">
        <f>問題!D118</f>
        <v>個別</v>
      </c>
      <c r="E150" t="str">
        <f>問題!E118</f>
        <v>個別</v>
      </c>
      <c r="F150" t="str">
        <f>IF(問題!G118="●","〇","×")</f>
        <v>〇</v>
      </c>
      <c r="G150" t="str">
        <f>IF(問題!I118="●","〇","×")</f>
        <v>×</v>
      </c>
      <c r="H150" t="str">
        <f>IF(問題!K118="●","〇","×")</f>
        <v>×</v>
      </c>
      <c r="I150" t="str">
        <f>IF(問題!M118="●","〇","×")</f>
        <v>〇</v>
      </c>
      <c r="J150" t="str">
        <f>IF(問題!O118="●","〇","×")</f>
        <v>〇</v>
      </c>
    </row>
    <row r="151" spans="1:10">
      <c r="A151" t="str">
        <f>問題!A119</f>
        <v>06設備</v>
      </c>
      <c r="B151" t="str">
        <f>問題!B119</f>
        <v>シーン3</v>
      </c>
      <c r="C151">
        <f>問題!C119</f>
        <v>4</v>
      </c>
      <c r="D151" t="str">
        <f>問題!D119</f>
        <v>個別</v>
      </c>
      <c r="E151" t="str">
        <f>問題!E119</f>
        <v>個別</v>
      </c>
      <c r="F151" t="str">
        <f>IF(問題!G119="●","〇","×")</f>
        <v>×</v>
      </c>
      <c r="G151" t="str">
        <f>IF(問題!I119="●","〇","×")</f>
        <v>〇</v>
      </c>
      <c r="H151" t="str">
        <f>IF(問題!K119="●","〇","×")</f>
        <v>×</v>
      </c>
      <c r="I151" t="str">
        <f>IF(問題!M119="●","〇","×")</f>
        <v>×</v>
      </c>
      <c r="J151" t="str">
        <f>IF(問題!O119="●","〇","×")</f>
        <v>〇</v>
      </c>
    </row>
    <row r="152" spans="1:10">
      <c r="A152" t="str">
        <f>問題!A120</f>
        <v>06設備</v>
      </c>
      <c r="B152" t="str">
        <f>問題!B120</f>
        <v>シーン3</v>
      </c>
      <c r="C152">
        <f>問題!C120</f>
        <v>5</v>
      </c>
      <c r="D152" t="str">
        <f>問題!D120</f>
        <v>個別</v>
      </c>
      <c r="E152" t="str">
        <f>問題!E120</f>
        <v>個別</v>
      </c>
      <c r="F152" t="str">
        <f>IF(問題!G120="●","〇","×")</f>
        <v>×</v>
      </c>
      <c r="G152" t="str">
        <f>IF(問題!I120="●","〇","×")</f>
        <v>×</v>
      </c>
      <c r="H152" t="str">
        <f>IF(問題!K120="●","〇","×")</f>
        <v>×</v>
      </c>
      <c r="I152" t="str">
        <f>IF(問題!M120="●","〇","×")</f>
        <v>〇</v>
      </c>
      <c r="J152" t="str">
        <f>IF(問題!O120="●","〇","×")</f>
        <v>〇</v>
      </c>
    </row>
    <row r="153" spans="1:10">
      <c r="A153" t="str">
        <f>問題!A121</f>
        <v>06設備</v>
      </c>
      <c r="B153" t="str">
        <f>問題!B121</f>
        <v>シーン3</v>
      </c>
      <c r="C153">
        <f>問題!C121</f>
        <v>6</v>
      </c>
      <c r="D153" t="str">
        <f>問題!D121</f>
        <v>個別</v>
      </c>
      <c r="E153" t="str">
        <f>問題!E121</f>
        <v>個別</v>
      </c>
      <c r="F153" t="str">
        <f>IF(問題!G121="●","〇","×")</f>
        <v>×</v>
      </c>
      <c r="G153" t="str">
        <f>IF(問題!I121="●","〇","×")</f>
        <v>×</v>
      </c>
      <c r="H153" t="str">
        <f>IF(問題!K121="●","〇","×")</f>
        <v>×</v>
      </c>
      <c r="I153" t="str">
        <f>IF(問題!M121="●","〇","×")</f>
        <v>〇</v>
      </c>
      <c r="J153" t="str">
        <f>IF(問題!O121="●","〇","×")</f>
        <v>〇</v>
      </c>
    </row>
    <row r="154" spans="1:10">
      <c r="A154" t="str">
        <f>問題!A122</f>
        <v>06設備</v>
      </c>
      <c r="B154" t="str">
        <f>問題!B122</f>
        <v>シーン3</v>
      </c>
      <c r="C154">
        <f>問題!C122</f>
        <v>7</v>
      </c>
      <c r="D154" t="str">
        <f>問題!D122</f>
        <v>共通14</v>
      </c>
      <c r="E154" t="str">
        <f>問題!E122</f>
        <v>共通</v>
      </c>
      <c r="F154" t="str">
        <f>IF(問題!G122="●","〇","×")</f>
        <v>×</v>
      </c>
      <c r="G154" t="str">
        <f>IF(問題!I122="●","〇","×")</f>
        <v>×</v>
      </c>
      <c r="H154" t="str">
        <f>IF(問題!K122="●","〇","×")</f>
        <v>〇</v>
      </c>
      <c r="I154" t="str">
        <f>IF(問題!M122="●","〇","×")</f>
        <v>〇</v>
      </c>
      <c r="J154" t="str">
        <f>IF(問題!O122="●","〇","×")</f>
        <v>〇</v>
      </c>
    </row>
    <row r="155" spans="1:10">
      <c r="A155" s="63" t="s">
        <v>357</v>
      </c>
      <c r="B155" s="63"/>
      <c r="C155" s="63"/>
      <c r="D155" s="63"/>
      <c r="E155" s="63" t="s">
        <v>367</v>
      </c>
      <c r="F155" s="63">
        <f>COUNTIF(F133:F154,"〇")</f>
        <v>8</v>
      </c>
      <c r="G155" s="63">
        <f>COUNTIF(G133:G154,"〇")</f>
        <v>11</v>
      </c>
      <c r="H155" s="63">
        <f>COUNTIF(H133:H154,"〇")</f>
        <v>5</v>
      </c>
      <c r="I155" s="63">
        <f>COUNTIF(I133:I154,"〇")</f>
        <v>9</v>
      </c>
      <c r="J155" s="63">
        <f>COUNTIF(J133:J154,"〇")</f>
        <v>16</v>
      </c>
    </row>
    <row r="157" spans="1:10" ht="19.899999999999999">
      <c r="A157" s="68" t="s">
        <v>373</v>
      </c>
      <c r="B157" s="68"/>
      <c r="C157" s="68"/>
      <c r="D157" s="68"/>
      <c r="E157" s="68"/>
      <c r="F157" s="68"/>
      <c r="G157" s="68"/>
      <c r="H157" s="68"/>
      <c r="I157" s="68"/>
      <c r="J157" s="68"/>
    </row>
    <row r="158" spans="1:10">
      <c r="A158" s="62" t="s">
        <v>358</v>
      </c>
      <c r="B158" s="62" t="s">
        <v>331</v>
      </c>
      <c r="C158" s="62" t="s">
        <v>360</v>
      </c>
      <c r="D158" s="62" t="s">
        <v>361</v>
      </c>
      <c r="E158" s="62" t="s">
        <v>362</v>
      </c>
      <c r="F158" s="62" t="s">
        <v>333</v>
      </c>
      <c r="G158" s="62" t="s">
        <v>363</v>
      </c>
      <c r="H158" s="62" t="s">
        <v>364</v>
      </c>
      <c r="I158" s="62" t="s">
        <v>365</v>
      </c>
      <c r="J158" s="62" t="s">
        <v>366</v>
      </c>
    </row>
    <row r="159" spans="1:10">
      <c r="A159" t="str">
        <f>問題!A3</f>
        <v>00全班共通</v>
      </c>
      <c r="B159" t="str">
        <f>問題!B3</f>
        <v>シーン1</v>
      </c>
      <c r="C159">
        <f>問題!C3</f>
        <v>1</v>
      </c>
      <c r="D159" t="str">
        <f>問題!D3</f>
        <v>共通01</v>
      </c>
      <c r="E159" t="str">
        <f>問題!E3</f>
        <v>共通</v>
      </c>
      <c r="F159" t="str">
        <f>IF(問題!G3="●","〇","×")</f>
        <v>×</v>
      </c>
      <c r="G159" t="str">
        <f>IF(問題!I3="●","〇","×")</f>
        <v>〇</v>
      </c>
      <c r="H159" t="str">
        <f>IF(問題!K3="●","〇","×")</f>
        <v>×</v>
      </c>
      <c r="I159" t="str">
        <f>IF(問題!M3="●","〇","×")</f>
        <v>〇</v>
      </c>
      <c r="J159" t="str">
        <f>IF(問題!O3="●","〇","×")</f>
        <v>〇</v>
      </c>
    </row>
    <row r="160" spans="1:10">
      <c r="A160" t="str">
        <f>問題!A4</f>
        <v>00全班共通</v>
      </c>
      <c r="B160" t="str">
        <f>問題!B4</f>
        <v>シーン1</v>
      </c>
      <c r="C160">
        <f>問題!C4</f>
        <v>2</v>
      </c>
      <c r="D160" t="str">
        <f>問題!D4</f>
        <v>共通02</v>
      </c>
      <c r="E160" t="str">
        <f>問題!E4</f>
        <v>共通</v>
      </c>
      <c r="F160" t="str">
        <f>IF(問題!G4="●","〇","×")</f>
        <v>×</v>
      </c>
      <c r="G160" t="str">
        <f>IF(問題!I4="●","〇","×")</f>
        <v>〇</v>
      </c>
      <c r="H160" t="str">
        <f>IF(問題!K4="●","〇","×")</f>
        <v>×</v>
      </c>
      <c r="I160" t="str">
        <f>IF(問題!M4="●","〇","×")</f>
        <v>×</v>
      </c>
      <c r="J160" t="str">
        <f>IF(問題!O4="●","〇","×")</f>
        <v>×</v>
      </c>
    </row>
    <row r="161" spans="1:10">
      <c r="A161" t="str">
        <f>問題!A5</f>
        <v>00全班共通</v>
      </c>
      <c r="B161" t="str">
        <f>問題!B5</f>
        <v>シーン1</v>
      </c>
      <c r="C161">
        <f>問題!C5</f>
        <v>3</v>
      </c>
      <c r="D161" t="str">
        <f>問題!D5</f>
        <v>共通03</v>
      </c>
      <c r="E161" t="str">
        <f>問題!E5</f>
        <v>共通</v>
      </c>
      <c r="F161" t="str">
        <f>IF(問題!G5="●","〇","×")</f>
        <v>×</v>
      </c>
      <c r="G161" t="str">
        <f>IF(問題!I5="●","〇","×")</f>
        <v>×</v>
      </c>
      <c r="H161" t="str">
        <f>IF(問題!K5="●","〇","×")</f>
        <v>〇</v>
      </c>
      <c r="I161" t="str">
        <f>IF(問題!M5="●","〇","×")</f>
        <v>×</v>
      </c>
      <c r="J161" t="str">
        <f>IF(問題!O5="●","〇","×")</f>
        <v>×</v>
      </c>
    </row>
    <row r="162" spans="1:10">
      <c r="A162" t="str">
        <f>問題!A6</f>
        <v>00全班共通</v>
      </c>
      <c r="B162" t="str">
        <f>問題!B6</f>
        <v>シーン1</v>
      </c>
      <c r="C162">
        <f>問題!C6</f>
        <v>4</v>
      </c>
      <c r="D162" t="str">
        <f>問題!D6</f>
        <v>共通04</v>
      </c>
      <c r="E162" t="str">
        <f>問題!E6</f>
        <v>共通</v>
      </c>
      <c r="F162" t="str">
        <f>IF(問題!G6="●","〇","×")</f>
        <v>×</v>
      </c>
      <c r="G162" t="str">
        <f>IF(問題!I6="●","〇","×")</f>
        <v>〇</v>
      </c>
      <c r="H162" t="str">
        <f>IF(問題!K6="●","〇","×")</f>
        <v>×</v>
      </c>
      <c r="I162" t="str">
        <f>IF(問題!M6="●","〇","×")</f>
        <v>×</v>
      </c>
      <c r="J162" t="str">
        <f>IF(問題!O6="●","〇","×")</f>
        <v>〇</v>
      </c>
    </row>
    <row r="163" spans="1:10">
      <c r="A163" t="str">
        <f>問題!A7</f>
        <v>00全班共通</v>
      </c>
      <c r="B163" t="str">
        <f>問題!B7</f>
        <v>シーン1</v>
      </c>
      <c r="C163">
        <f>問題!C7</f>
        <v>5</v>
      </c>
      <c r="D163" t="str">
        <f>問題!D7</f>
        <v>共通05</v>
      </c>
      <c r="E163" t="str">
        <f>問題!E7</f>
        <v>共通</v>
      </c>
      <c r="F163" t="str">
        <f>IF(問題!G7="●","〇","×")</f>
        <v>×</v>
      </c>
      <c r="G163" t="str">
        <f>IF(問題!I7="●","〇","×")</f>
        <v>×</v>
      </c>
      <c r="H163" t="str">
        <f>IF(問題!K7="●","〇","×")</f>
        <v>×</v>
      </c>
      <c r="I163" t="str">
        <f>IF(問題!M7="●","〇","×")</f>
        <v>〇</v>
      </c>
      <c r="J163" t="str">
        <f>IF(問題!O7="●","〇","×")</f>
        <v>〇</v>
      </c>
    </row>
    <row r="164" spans="1:10">
      <c r="A164" t="str">
        <f>問題!A8</f>
        <v>00全班共通</v>
      </c>
      <c r="B164" t="str">
        <f>問題!B8</f>
        <v>シーン1</v>
      </c>
      <c r="C164">
        <f>問題!C8</f>
        <v>6</v>
      </c>
      <c r="D164" t="str">
        <f>問題!D8</f>
        <v>共通06</v>
      </c>
      <c r="E164" t="str">
        <f>問題!E8</f>
        <v>共通</v>
      </c>
      <c r="F164" t="str">
        <f>IF(問題!G8="●","〇","×")</f>
        <v>×</v>
      </c>
      <c r="G164" t="str">
        <f>IF(問題!I8="●","〇","×")</f>
        <v>〇</v>
      </c>
      <c r="H164" t="str">
        <f>IF(問題!K8="●","〇","×")</f>
        <v>〇</v>
      </c>
      <c r="I164" t="str">
        <f>IF(問題!M8="●","〇","×")</f>
        <v>〇</v>
      </c>
      <c r="J164" t="str">
        <f>IF(問題!O8="●","〇","×")</f>
        <v>×</v>
      </c>
    </row>
    <row r="165" spans="1:10">
      <c r="A165" t="str">
        <f>問題!A9</f>
        <v>00全班共通</v>
      </c>
      <c r="B165" t="str">
        <f>問題!B9</f>
        <v>シーン1</v>
      </c>
      <c r="C165">
        <f>問題!C9</f>
        <v>7</v>
      </c>
      <c r="D165" t="str">
        <f>問題!D9</f>
        <v>共通07</v>
      </c>
      <c r="E165" t="str">
        <f>問題!E9</f>
        <v>共通</v>
      </c>
      <c r="F165" t="str">
        <f>IF(問題!G9="●","〇","×")</f>
        <v>×</v>
      </c>
      <c r="G165" t="str">
        <f>IF(問題!I9="●","〇","×")</f>
        <v>〇</v>
      </c>
      <c r="H165" t="str">
        <f>IF(問題!K9="●","〇","×")</f>
        <v>×</v>
      </c>
      <c r="I165" t="str">
        <f>IF(問題!M9="●","〇","×")</f>
        <v>×</v>
      </c>
      <c r="J165" t="str">
        <f>IF(問題!O9="●","〇","×")</f>
        <v>〇</v>
      </c>
    </row>
    <row r="166" spans="1:10">
      <c r="A166" t="str">
        <f>問題!A10</f>
        <v>00全班共通</v>
      </c>
      <c r="B166" t="str">
        <f>問題!B10</f>
        <v>シーン1</v>
      </c>
      <c r="C166">
        <f>問題!C10</f>
        <v>8</v>
      </c>
      <c r="D166" t="str">
        <f>問題!D10</f>
        <v>共通08</v>
      </c>
      <c r="E166" t="str">
        <f>問題!E10</f>
        <v>共通</v>
      </c>
      <c r="F166" t="str">
        <f>IF(問題!G10="●","〇","×")</f>
        <v>×</v>
      </c>
      <c r="G166" t="str">
        <f>IF(問題!I10="●","〇","×")</f>
        <v>〇</v>
      </c>
      <c r="H166" t="str">
        <f>IF(問題!K10="●","〇","×")</f>
        <v>〇</v>
      </c>
      <c r="I166" t="str">
        <f>IF(問題!M10="●","〇","×")</f>
        <v>〇</v>
      </c>
      <c r="J166" t="str">
        <f>IF(問題!O10="●","〇","×")</f>
        <v>×</v>
      </c>
    </row>
    <row r="167" spans="1:10">
      <c r="A167" t="str">
        <f>問題!A53</f>
        <v>07資材</v>
      </c>
      <c r="B167" t="str">
        <f>問題!B53</f>
        <v>シーン2</v>
      </c>
      <c r="C167">
        <f>問題!C53</f>
        <v>1</v>
      </c>
      <c r="D167" t="str">
        <f>問題!D53</f>
        <v>共通09</v>
      </c>
      <c r="E167" t="str">
        <f>問題!E53</f>
        <v>共通</v>
      </c>
      <c r="F167" t="str">
        <f>IF(問題!G53="●","〇","×")</f>
        <v>〇</v>
      </c>
      <c r="G167" t="str">
        <f>IF(問題!I53="●","〇","×")</f>
        <v>〇</v>
      </c>
      <c r="H167" t="str">
        <f>IF(問題!K53="●","〇","×")</f>
        <v>×</v>
      </c>
      <c r="I167" t="str">
        <f>IF(問題!M53="●","〇","×")</f>
        <v>×</v>
      </c>
      <c r="J167" t="str">
        <f>IF(問題!O53="●","〇","×")</f>
        <v>×</v>
      </c>
    </row>
    <row r="168" spans="1:10">
      <c r="A168" t="str">
        <f>問題!A54</f>
        <v>07資材</v>
      </c>
      <c r="B168" t="str">
        <f>問題!B54</f>
        <v>シーン2</v>
      </c>
      <c r="C168">
        <f>問題!C54</f>
        <v>2</v>
      </c>
      <c r="D168" t="str">
        <f>問題!D54</f>
        <v>共通10</v>
      </c>
      <c r="E168" t="str">
        <f>問題!E54</f>
        <v>共通</v>
      </c>
      <c r="F168" t="str">
        <f>IF(問題!G54="●","〇","×")</f>
        <v>〇</v>
      </c>
      <c r="G168" t="str">
        <f>IF(問題!I54="●","〇","×")</f>
        <v>×</v>
      </c>
      <c r="H168" t="str">
        <f>IF(問題!K54="●","〇","×")</f>
        <v>×</v>
      </c>
      <c r="I168" t="str">
        <f>IF(問題!M54="●","〇","×")</f>
        <v>×</v>
      </c>
      <c r="J168" t="str">
        <f>IF(問題!O54="●","〇","×")</f>
        <v>〇</v>
      </c>
    </row>
    <row r="169" spans="1:10">
      <c r="A169" t="str">
        <f>問題!A55</f>
        <v>07資材</v>
      </c>
      <c r="B169" t="str">
        <f>問題!B55</f>
        <v>シーン2</v>
      </c>
      <c r="C169">
        <f>問題!C55</f>
        <v>3</v>
      </c>
      <c r="D169" t="str">
        <f>問題!D55</f>
        <v>個別</v>
      </c>
      <c r="E169" t="str">
        <f>問題!E55</f>
        <v>個別</v>
      </c>
      <c r="F169" t="str">
        <f>IF(問題!G55="●","〇","×")</f>
        <v>〇</v>
      </c>
      <c r="G169" t="str">
        <f>IF(問題!I55="●","〇","×")</f>
        <v>×</v>
      </c>
      <c r="H169" t="str">
        <f>IF(問題!K55="●","〇","×")</f>
        <v>×</v>
      </c>
      <c r="I169" t="str">
        <f>IF(問題!M55="●","〇","×")</f>
        <v>×</v>
      </c>
      <c r="J169" t="str">
        <f>IF(問題!O55="●","〇","×")</f>
        <v>〇</v>
      </c>
    </row>
    <row r="170" spans="1:10">
      <c r="A170" t="str">
        <f>問題!A56</f>
        <v>07資材</v>
      </c>
      <c r="B170" t="str">
        <f>問題!B56</f>
        <v>シーン2</v>
      </c>
      <c r="C170">
        <f>問題!C56</f>
        <v>4</v>
      </c>
      <c r="D170" t="str">
        <f>問題!D56</f>
        <v>個別</v>
      </c>
      <c r="E170" t="str">
        <f>問題!E56</f>
        <v>個別</v>
      </c>
      <c r="F170" t="str">
        <f>IF(問題!G56="●","〇","×")</f>
        <v>〇</v>
      </c>
      <c r="G170" t="str">
        <f>IF(問題!I56="●","〇","×")</f>
        <v>〇</v>
      </c>
      <c r="H170" t="str">
        <f>IF(問題!K56="●","〇","×")</f>
        <v>×</v>
      </c>
      <c r="I170" t="str">
        <f>IF(問題!M56="●","〇","×")</f>
        <v>×</v>
      </c>
      <c r="J170" t="str">
        <f>IF(問題!O56="●","〇","×")</f>
        <v>×</v>
      </c>
    </row>
    <row r="171" spans="1:10">
      <c r="A171" t="str">
        <f>問題!A57</f>
        <v>07資材</v>
      </c>
      <c r="B171" t="str">
        <f>問題!B57</f>
        <v>シーン2</v>
      </c>
      <c r="C171">
        <f>問題!C57</f>
        <v>5</v>
      </c>
      <c r="D171" t="str">
        <f>問題!D57</f>
        <v>個別</v>
      </c>
      <c r="E171" t="str">
        <f>問題!E57</f>
        <v>個別</v>
      </c>
      <c r="F171" t="str">
        <f>IF(問題!G57="●","〇","×")</f>
        <v>×</v>
      </c>
      <c r="G171" t="str">
        <f>IF(問題!I57="●","〇","×")</f>
        <v>×</v>
      </c>
      <c r="H171" t="str">
        <f>IF(問題!K57="●","〇","×")</f>
        <v>〇</v>
      </c>
      <c r="I171" t="str">
        <f>IF(問題!M57="●","〇","×")</f>
        <v>×</v>
      </c>
      <c r="J171" t="str">
        <f>IF(問題!O57="●","〇","×")</f>
        <v>〇</v>
      </c>
    </row>
    <row r="172" spans="1:10">
      <c r="A172" t="str">
        <f>問題!A58</f>
        <v>07資材</v>
      </c>
      <c r="B172" t="str">
        <f>問題!B58</f>
        <v>シーン2</v>
      </c>
      <c r="C172">
        <f>問題!C58</f>
        <v>6</v>
      </c>
      <c r="D172" t="str">
        <f>問題!D58</f>
        <v>個別</v>
      </c>
      <c r="E172" t="str">
        <f>問題!E58</f>
        <v>個別</v>
      </c>
      <c r="F172" t="str">
        <f>IF(問題!G58="●","〇","×")</f>
        <v>×</v>
      </c>
      <c r="G172" t="str">
        <f>IF(問題!I58="●","〇","×")</f>
        <v>〇</v>
      </c>
      <c r="H172" t="str">
        <f>IF(問題!K58="●","〇","×")</f>
        <v>×</v>
      </c>
      <c r="I172" t="str">
        <f>IF(問題!M58="●","〇","×")</f>
        <v>〇</v>
      </c>
      <c r="J172" t="str">
        <f>IF(問題!O58="●","〇","×")</f>
        <v>〇</v>
      </c>
    </row>
    <row r="173" spans="1:10">
      <c r="A173" t="str">
        <f>問題!A59</f>
        <v>07資材</v>
      </c>
      <c r="B173" t="str">
        <f>問題!B59</f>
        <v>シーン2</v>
      </c>
      <c r="C173">
        <f>問題!C59</f>
        <v>7</v>
      </c>
      <c r="D173" t="str">
        <f>問題!D59</f>
        <v>共通11</v>
      </c>
      <c r="E173" t="str">
        <f>問題!E59</f>
        <v>共通</v>
      </c>
      <c r="F173" t="str">
        <f>IF(問題!G59="●","〇","×")</f>
        <v>〇</v>
      </c>
      <c r="G173" t="str">
        <f>IF(問題!I59="●","〇","×")</f>
        <v>×</v>
      </c>
      <c r="H173" t="str">
        <f>IF(問題!K59="●","〇","×")</f>
        <v>×</v>
      </c>
      <c r="I173" t="str">
        <f>IF(問題!M59="●","〇","×")</f>
        <v>×</v>
      </c>
      <c r="J173" t="str">
        <f>IF(問題!O59="●","〇","×")</f>
        <v>×</v>
      </c>
    </row>
    <row r="174" spans="1:10">
      <c r="A174" t="str">
        <f>問題!A123</f>
        <v>07資材</v>
      </c>
      <c r="B174" t="str">
        <f>問題!B123</f>
        <v>シーン3</v>
      </c>
      <c r="C174">
        <f>問題!C123</f>
        <v>1</v>
      </c>
      <c r="D174" t="str">
        <f>問題!D123</f>
        <v>共通12</v>
      </c>
      <c r="E174" t="str">
        <f>問題!E123</f>
        <v>共通</v>
      </c>
      <c r="F174" t="str">
        <f>IF(問題!G123="●","〇","×")</f>
        <v>〇</v>
      </c>
      <c r="G174" t="str">
        <f>IF(問題!I123="●","〇","×")</f>
        <v>×</v>
      </c>
      <c r="H174" t="str">
        <f>IF(問題!K123="●","〇","×")</f>
        <v>×</v>
      </c>
      <c r="I174" t="str">
        <f>IF(問題!M123="●","〇","×")</f>
        <v>×</v>
      </c>
      <c r="J174" t="str">
        <f>IF(問題!O123="●","〇","×")</f>
        <v>〇</v>
      </c>
    </row>
    <row r="175" spans="1:10">
      <c r="A175" t="str">
        <f>問題!A124</f>
        <v>07資材</v>
      </c>
      <c r="B175" t="str">
        <f>問題!B124</f>
        <v>シーン3</v>
      </c>
      <c r="C175">
        <f>問題!C124</f>
        <v>2</v>
      </c>
      <c r="D175" t="str">
        <f>問題!D124</f>
        <v>共通13</v>
      </c>
      <c r="E175" t="str">
        <f>問題!E124</f>
        <v>共通</v>
      </c>
      <c r="F175" t="str">
        <f>IF(問題!G124="●","〇","×")</f>
        <v>〇</v>
      </c>
      <c r="G175" t="str">
        <f>IF(問題!I124="●","〇","×")</f>
        <v>〇</v>
      </c>
      <c r="H175" t="str">
        <f>IF(問題!K124="●","〇","×")</f>
        <v>×</v>
      </c>
      <c r="I175" t="str">
        <f>IF(問題!M124="●","〇","×")</f>
        <v>×</v>
      </c>
      <c r="J175" t="str">
        <f>IF(問題!O124="●","〇","×")</f>
        <v>〇</v>
      </c>
    </row>
    <row r="176" spans="1:10">
      <c r="A176" t="str">
        <f>問題!A125</f>
        <v>07資材</v>
      </c>
      <c r="B176" t="str">
        <f>問題!B125</f>
        <v>シーン3</v>
      </c>
      <c r="C176">
        <f>問題!C125</f>
        <v>3</v>
      </c>
      <c r="D176" t="str">
        <f>問題!D125</f>
        <v>個別</v>
      </c>
      <c r="E176" t="str">
        <f>問題!E125</f>
        <v>個別</v>
      </c>
      <c r="F176" t="str">
        <f>IF(問題!G125="●","〇","×")</f>
        <v>×</v>
      </c>
      <c r="G176" t="str">
        <f>IF(問題!I125="●","〇","×")</f>
        <v>〇</v>
      </c>
      <c r="H176" t="str">
        <f>IF(問題!K125="●","〇","×")</f>
        <v>×</v>
      </c>
      <c r="I176" t="str">
        <f>IF(問題!M125="●","〇","×")</f>
        <v>×</v>
      </c>
      <c r="J176" t="str">
        <f>IF(問題!O125="●","〇","×")</f>
        <v>〇</v>
      </c>
    </row>
    <row r="177" spans="1:10">
      <c r="A177" t="str">
        <f>問題!A126</f>
        <v>07資材</v>
      </c>
      <c r="B177" t="str">
        <f>問題!B126</f>
        <v>シーン3</v>
      </c>
      <c r="C177">
        <f>問題!C126</f>
        <v>4</v>
      </c>
      <c r="D177" t="str">
        <f>問題!D126</f>
        <v>個別</v>
      </c>
      <c r="E177" t="str">
        <f>問題!E126</f>
        <v>個別</v>
      </c>
      <c r="F177" t="str">
        <f>IF(問題!G126="●","〇","×")</f>
        <v>〇</v>
      </c>
      <c r="G177" t="str">
        <f>IF(問題!I126="●","〇","×")</f>
        <v>×</v>
      </c>
      <c r="H177" t="str">
        <f>IF(問題!K126="●","〇","×")</f>
        <v>×</v>
      </c>
      <c r="I177" t="str">
        <f>IF(問題!M126="●","〇","×")</f>
        <v>×</v>
      </c>
      <c r="J177" t="str">
        <f>IF(問題!O126="●","〇","×")</f>
        <v>〇</v>
      </c>
    </row>
    <row r="178" spans="1:10">
      <c r="A178" t="str">
        <f>問題!A127</f>
        <v>07資材</v>
      </c>
      <c r="B178" t="str">
        <f>問題!B127</f>
        <v>シーン3</v>
      </c>
      <c r="C178">
        <f>問題!C127</f>
        <v>5</v>
      </c>
      <c r="D178" t="str">
        <f>問題!D127</f>
        <v>個別</v>
      </c>
      <c r="E178" t="str">
        <f>問題!E127</f>
        <v>個別</v>
      </c>
      <c r="F178" t="str">
        <f>IF(問題!G127="●","〇","×")</f>
        <v>〇</v>
      </c>
      <c r="G178" t="str">
        <f>IF(問題!I127="●","〇","×")</f>
        <v>×</v>
      </c>
      <c r="H178" t="str">
        <f>IF(問題!K127="●","〇","×")</f>
        <v>×</v>
      </c>
      <c r="I178" t="str">
        <f>IF(問題!M127="●","〇","×")</f>
        <v>×</v>
      </c>
      <c r="J178" t="str">
        <f>IF(問題!O127="●","〇","×")</f>
        <v>〇</v>
      </c>
    </row>
    <row r="179" spans="1:10">
      <c r="A179" t="str">
        <f>問題!A128</f>
        <v>07資材</v>
      </c>
      <c r="B179" t="str">
        <f>問題!B128</f>
        <v>シーン3</v>
      </c>
      <c r="C179">
        <f>問題!C128</f>
        <v>6</v>
      </c>
      <c r="D179" t="str">
        <f>問題!D128</f>
        <v>個別</v>
      </c>
      <c r="E179" t="str">
        <f>問題!E128</f>
        <v>個別</v>
      </c>
      <c r="F179" t="str">
        <f>IF(問題!G128="●","〇","×")</f>
        <v>〇</v>
      </c>
      <c r="G179" t="str">
        <f>IF(問題!I128="●","〇","×")</f>
        <v>×</v>
      </c>
      <c r="H179" t="str">
        <f>IF(問題!K128="●","〇","×")</f>
        <v>×</v>
      </c>
      <c r="I179" t="str">
        <f>IF(問題!M128="●","〇","×")</f>
        <v>×</v>
      </c>
      <c r="J179" t="str">
        <f>IF(問題!O128="●","〇","×")</f>
        <v>〇</v>
      </c>
    </row>
    <row r="180" spans="1:10">
      <c r="A180" t="str">
        <f>問題!A129</f>
        <v>07資材</v>
      </c>
      <c r="B180" t="str">
        <f>問題!B129</f>
        <v>シーン3</v>
      </c>
      <c r="C180">
        <f>問題!C129</f>
        <v>7</v>
      </c>
      <c r="D180" t="str">
        <f>問題!D129</f>
        <v>共通14</v>
      </c>
      <c r="E180" t="str">
        <f>問題!E129</f>
        <v>共通</v>
      </c>
      <c r="F180" t="str">
        <f>IF(問題!G129="●","〇","×")</f>
        <v>×</v>
      </c>
      <c r="G180" t="str">
        <f>IF(問題!I129="●","〇","×")</f>
        <v>×</v>
      </c>
      <c r="H180" t="str">
        <f>IF(問題!K129="●","〇","×")</f>
        <v>〇</v>
      </c>
      <c r="I180" t="str">
        <f>IF(問題!M129="●","〇","×")</f>
        <v>〇</v>
      </c>
      <c r="J180" t="str">
        <f>IF(問題!O129="●","〇","×")</f>
        <v>〇</v>
      </c>
    </row>
    <row r="181" spans="1:10">
      <c r="A181" s="63" t="s">
        <v>357</v>
      </c>
      <c r="B181" s="63"/>
      <c r="C181" s="63"/>
      <c r="D181" s="63"/>
      <c r="E181" s="63" t="s">
        <v>367</v>
      </c>
      <c r="F181" s="63">
        <f>COUNTIF(F159:F180,"〇")</f>
        <v>10</v>
      </c>
      <c r="G181" s="63">
        <f>COUNTIF(G159:G180,"〇")</f>
        <v>11</v>
      </c>
      <c r="H181" s="63">
        <f>COUNTIF(H159:H180,"〇")</f>
        <v>5</v>
      </c>
      <c r="I181" s="63">
        <f>COUNTIF(I159:I180,"〇")</f>
        <v>6</v>
      </c>
      <c r="J181" s="63">
        <f>COUNTIF(J159:J180,"〇")</f>
        <v>15</v>
      </c>
    </row>
    <row r="183" spans="1:10" ht="19.899999999999999">
      <c r="A183" s="68" t="s">
        <v>374</v>
      </c>
      <c r="B183" s="68"/>
      <c r="C183" s="68"/>
      <c r="D183" s="68"/>
      <c r="E183" s="68"/>
      <c r="F183" s="68"/>
      <c r="G183" s="68"/>
      <c r="H183" s="68"/>
      <c r="I183" s="68"/>
      <c r="J183" s="68"/>
    </row>
    <row r="184" spans="1:10">
      <c r="A184" s="62" t="s">
        <v>358</v>
      </c>
      <c r="B184" s="62" t="s">
        <v>331</v>
      </c>
      <c r="C184" s="62" t="s">
        <v>360</v>
      </c>
      <c r="D184" s="62" t="s">
        <v>361</v>
      </c>
      <c r="E184" s="62" t="s">
        <v>362</v>
      </c>
      <c r="F184" s="62" t="s">
        <v>333</v>
      </c>
      <c r="G184" s="62" t="s">
        <v>363</v>
      </c>
      <c r="H184" s="62" t="s">
        <v>364</v>
      </c>
      <c r="I184" s="62" t="s">
        <v>365</v>
      </c>
      <c r="J184" s="62" t="s">
        <v>366</v>
      </c>
    </row>
    <row r="185" spans="1:10">
      <c r="A185" t="str">
        <f>問題!A3</f>
        <v>00全班共通</v>
      </c>
      <c r="B185" t="str">
        <f>問題!B3</f>
        <v>シーン1</v>
      </c>
      <c r="C185">
        <f>問題!C3</f>
        <v>1</v>
      </c>
      <c r="D185" t="str">
        <f>問題!D3</f>
        <v>共通01</v>
      </c>
      <c r="E185" t="str">
        <f>問題!E3</f>
        <v>共通</v>
      </c>
      <c r="F185" t="str">
        <f>IF(問題!G3="●","〇","×")</f>
        <v>×</v>
      </c>
      <c r="G185" t="str">
        <f>IF(問題!I3="●","〇","×")</f>
        <v>〇</v>
      </c>
      <c r="H185" t="str">
        <f>IF(問題!K3="●","〇","×")</f>
        <v>×</v>
      </c>
      <c r="I185" t="str">
        <f>IF(問題!M3="●","〇","×")</f>
        <v>〇</v>
      </c>
      <c r="J185" t="str">
        <f>IF(問題!O3="●","〇","×")</f>
        <v>〇</v>
      </c>
    </row>
    <row r="186" spans="1:10">
      <c r="A186" t="str">
        <f>問題!A4</f>
        <v>00全班共通</v>
      </c>
      <c r="B186" t="str">
        <f>問題!B4</f>
        <v>シーン1</v>
      </c>
      <c r="C186">
        <f>問題!C4</f>
        <v>2</v>
      </c>
      <c r="D186" t="str">
        <f>問題!D4</f>
        <v>共通02</v>
      </c>
      <c r="E186" t="str">
        <f>問題!E4</f>
        <v>共通</v>
      </c>
      <c r="F186" t="str">
        <f>IF(問題!G4="●","〇","×")</f>
        <v>×</v>
      </c>
      <c r="G186" t="str">
        <f>IF(問題!I4="●","〇","×")</f>
        <v>〇</v>
      </c>
      <c r="H186" t="str">
        <f>IF(問題!K4="●","〇","×")</f>
        <v>×</v>
      </c>
      <c r="I186" t="str">
        <f>IF(問題!M4="●","〇","×")</f>
        <v>×</v>
      </c>
      <c r="J186" t="str">
        <f>IF(問題!O4="●","〇","×")</f>
        <v>×</v>
      </c>
    </row>
    <row r="187" spans="1:10">
      <c r="A187" t="str">
        <f>問題!A5</f>
        <v>00全班共通</v>
      </c>
      <c r="B187" t="str">
        <f>問題!B5</f>
        <v>シーン1</v>
      </c>
      <c r="C187">
        <f>問題!C5</f>
        <v>3</v>
      </c>
      <c r="D187" t="str">
        <f>問題!D5</f>
        <v>共通03</v>
      </c>
      <c r="E187" t="str">
        <f>問題!E5</f>
        <v>共通</v>
      </c>
      <c r="F187" t="str">
        <f>IF(問題!G5="●","〇","×")</f>
        <v>×</v>
      </c>
      <c r="G187" t="str">
        <f>IF(問題!I5="●","〇","×")</f>
        <v>×</v>
      </c>
      <c r="H187" t="str">
        <f>IF(問題!K5="●","〇","×")</f>
        <v>〇</v>
      </c>
      <c r="I187" t="str">
        <f>IF(問題!M5="●","〇","×")</f>
        <v>×</v>
      </c>
      <c r="J187" t="str">
        <f>IF(問題!O5="●","〇","×")</f>
        <v>×</v>
      </c>
    </row>
    <row r="188" spans="1:10">
      <c r="A188" t="str">
        <f>問題!A6</f>
        <v>00全班共通</v>
      </c>
      <c r="B188" t="str">
        <f>問題!B6</f>
        <v>シーン1</v>
      </c>
      <c r="C188">
        <f>問題!C6</f>
        <v>4</v>
      </c>
      <c r="D188" t="str">
        <f>問題!D6</f>
        <v>共通04</v>
      </c>
      <c r="E188" t="str">
        <f>問題!E6</f>
        <v>共通</v>
      </c>
      <c r="F188" t="str">
        <f>IF(問題!G6="●","〇","×")</f>
        <v>×</v>
      </c>
      <c r="G188" t="str">
        <f>IF(問題!I6="●","〇","×")</f>
        <v>〇</v>
      </c>
      <c r="H188" t="str">
        <f>IF(問題!K6="●","〇","×")</f>
        <v>×</v>
      </c>
      <c r="I188" t="str">
        <f>IF(問題!M6="●","〇","×")</f>
        <v>×</v>
      </c>
      <c r="J188" t="str">
        <f>IF(問題!O6="●","〇","×")</f>
        <v>〇</v>
      </c>
    </row>
    <row r="189" spans="1:10">
      <c r="A189" t="str">
        <f>問題!A7</f>
        <v>00全班共通</v>
      </c>
      <c r="B189" t="str">
        <f>問題!B7</f>
        <v>シーン1</v>
      </c>
      <c r="C189">
        <f>問題!C7</f>
        <v>5</v>
      </c>
      <c r="D189" t="str">
        <f>問題!D7</f>
        <v>共通05</v>
      </c>
      <c r="E189" t="str">
        <f>問題!E7</f>
        <v>共通</v>
      </c>
      <c r="F189" t="str">
        <f>IF(問題!G7="●","〇","×")</f>
        <v>×</v>
      </c>
      <c r="G189" t="str">
        <f>IF(問題!I7="●","〇","×")</f>
        <v>×</v>
      </c>
      <c r="H189" t="str">
        <f>IF(問題!K7="●","〇","×")</f>
        <v>×</v>
      </c>
      <c r="I189" t="str">
        <f>IF(問題!M7="●","〇","×")</f>
        <v>〇</v>
      </c>
      <c r="J189" t="str">
        <f>IF(問題!O7="●","〇","×")</f>
        <v>〇</v>
      </c>
    </row>
    <row r="190" spans="1:10">
      <c r="A190" t="str">
        <f>問題!A8</f>
        <v>00全班共通</v>
      </c>
      <c r="B190" t="str">
        <f>問題!B8</f>
        <v>シーン1</v>
      </c>
      <c r="C190">
        <f>問題!C8</f>
        <v>6</v>
      </c>
      <c r="D190" t="str">
        <f>問題!D8</f>
        <v>共通06</v>
      </c>
      <c r="E190" t="str">
        <f>問題!E8</f>
        <v>共通</v>
      </c>
      <c r="F190" t="str">
        <f>IF(問題!G8="●","〇","×")</f>
        <v>×</v>
      </c>
      <c r="G190" t="str">
        <f>IF(問題!I8="●","〇","×")</f>
        <v>〇</v>
      </c>
      <c r="H190" t="str">
        <f>IF(問題!K8="●","〇","×")</f>
        <v>〇</v>
      </c>
      <c r="I190" t="str">
        <f>IF(問題!M8="●","〇","×")</f>
        <v>〇</v>
      </c>
      <c r="J190" t="str">
        <f>IF(問題!O8="●","〇","×")</f>
        <v>×</v>
      </c>
    </row>
    <row r="191" spans="1:10">
      <c r="A191" t="str">
        <f>問題!A9</f>
        <v>00全班共通</v>
      </c>
      <c r="B191" t="str">
        <f>問題!B9</f>
        <v>シーン1</v>
      </c>
      <c r="C191">
        <f>問題!C9</f>
        <v>7</v>
      </c>
      <c r="D191" t="str">
        <f>問題!D9</f>
        <v>共通07</v>
      </c>
      <c r="E191" t="str">
        <f>問題!E9</f>
        <v>共通</v>
      </c>
      <c r="F191" t="str">
        <f>IF(問題!G9="●","〇","×")</f>
        <v>×</v>
      </c>
      <c r="G191" t="str">
        <f>IF(問題!I9="●","〇","×")</f>
        <v>〇</v>
      </c>
      <c r="H191" t="str">
        <f>IF(問題!K9="●","〇","×")</f>
        <v>×</v>
      </c>
      <c r="I191" t="str">
        <f>IF(問題!M9="●","〇","×")</f>
        <v>×</v>
      </c>
      <c r="J191" t="str">
        <f>IF(問題!O9="●","〇","×")</f>
        <v>〇</v>
      </c>
    </row>
    <row r="192" spans="1:10">
      <c r="A192" t="str">
        <f>問題!A10</f>
        <v>00全班共通</v>
      </c>
      <c r="B192" t="str">
        <f>問題!B10</f>
        <v>シーン1</v>
      </c>
      <c r="C192">
        <f>問題!C10</f>
        <v>8</v>
      </c>
      <c r="D192" t="str">
        <f>問題!D10</f>
        <v>共通08</v>
      </c>
      <c r="E192" t="str">
        <f>問題!E10</f>
        <v>共通</v>
      </c>
      <c r="F192" t="str">
        <f>IF(問題!G10="●","〇","×")</f>
        <v>×</v>
      </c>
      <c r="G192" t="str">
        <f>IF(問題!I10="●","〇","×")</f>
        <v>〇</v>
      </c>
      <c r="H192" t="str">
        <f>IF(問題!K10="●","〇","×")</f>
        <v>〇</v>
      </c>
      <c r="I192" t="str">
        <f>IF(問題!M10="●","〇","×")</f>
        <v>〇</v>
      </c>
      <c r="J192" t="str">
        <f>IF(問題!O10="●","〇","×")</f>
        <v>×</v>
      </c>
    </row>
    <row r="193" spans="1:10">
      <c r="A193" t="str">
        <f>問題!A60</f>
        <v>08セキュリティ</v>
      </c>
      <c r="B193" t="str">
        <f>問題!B60</f>
        <v>シーン2</v>
      </c>
      <c r="C193">
        <f>問題!C60</f>
        <v>1</v>
      </c>
      <c r="D193" t="str">
        <f>問題!D60</f>
        <v>共通09</v>
      </c>
      <c r="E193" t="str">
        <f>問題!E60</f>
        <v>共通</v>
      </c>
      <c r="F193" t="str">
        <f>IF(問題!G60="●","〇","×")</f>
        <v>〇</v>
      </c>
      <c r="G193" t="str">
        <f>IF(問題!I60="●","〇","×")</f>
        <v>〇</v>
      </c>
      <c r="H193" t="str">
        <f>IF(問題!K60="●","〇","×")</f>
        <v>×</v>
      </c>
      <c r="I193" t="str">
        <f>IF(問題!M60="●","〇","×")</f>
        <v>×</v>
      </c>
      <c r="J193" t="str">
        <f>IF(問題!O60="●","〇","×")</f>
        <v>×</v>
      </c>
    </row>
    <row r="194" spans="1:10">
      <c r="A194" t="str">
        <f>問題!A61</f>
        <v>08セキュリティ</v>
      </c>
      <c r="B194" t="str">
        <f>問題!B61</f>
        <v>シーン2</v>
      </c>
      <c r="C194">
        <f>問題!C61</f>
        <v>2</v>
      </c>
      <c r="D194" t="str">
        <f>問題!D61</f>
        <v>共通10</v>
      </c>
      <c r="E194" t="str">
        <f>問題!E61</f>
        <v>共通</v>
      </c>
      <c r="F194" t="str">
        <f>IF(問題!G61="●","〇","×")</f>
        <v>〇</v>
      </c>
      <c r="G194" t="str">
        <f>IF(問題!I61="●","〇","×")</f>
        <v>×</v>
      </c>
      <c r="H194" t="str">
        <f>IF(問題!K61="●","〇","×")</f>
        <v>×</v>
      </c>
      <c r="I194" t="str">
        <f>IF(問題!M61="●","〇","×")</f>
        <v>×</v>
      </c>
      <c r="J194" t="str">
        <f>IF(問題!O61="●","〇","×")</f>
        <v>〇</v>
      </c>
    </row>
    <row r="195" spans="1:10">
      <c r="A195" t="str">
        <f>問題!A62</f>
        <v>08セキュリティ</v>
      </c>
      <c r="B195" t="str">
        <f>問題!B62</f>
        <v>シーン2</v>
      </c>
      <c r="C195">
        <f>問題!C62</f>
        <v>3</v>
      </c>
      <c r="D195" t="str">
        <f>問題!D62</f>
        <v>個別</v>
      </c>
      <c r="E195" t="str">
        <f>問題!E62</f>
        <v>個別</v>
      </c>
      <c r="F195" t="str">
        <f>IF(問題!G62="●","〇","×")</f>
        <v>×</v>
      </c>
      <c r="G195" t="str">
        <f>IF(問題!I62="●","〇","×")</f>
        <v>〇</v>
      </c>
      <c r="H195" t="str">
        <f>IF(問題!K62="●","〇","×")</f>
        <v>×</v>
      </c>
      <c r="I195" t="str">
        <f>IF(問題!M62="●","〇","×")</f>
        <v>×</v>
      </c>
      <c r="J195" t="str">
        <f>IF(問題!O62="●","〇","×")</f>
        <v>〇</v>
      </c>
    </row>
    <row r="196" spans="1:10">
      <c r="A196" t="str">
        <f>問題!A63</f>
        <v>08セキュリティ</v>
      </c>
      <c r="B196" t="str">
        <f>問題!B63</f>
        <v>シーン2</v>
      </c>
      <c r="C196">
        <f>問題!C63</f>
        <v>4</v>
      </c>
      <c r="D196" t="str">
        <f>問題!D63</f>
        <v>個別</v>
      </c>
      <c r="E196" t="str">
        <f>問題!E63</f>
        <v>個別</v>
      </c>
      <c r="F196" t="str">
        <f>IF(問題!G63="●","〇","×")</f>
        <v>×</v>
      </c>
      <c r="G196" t="str">
        <f>IF(問題!I63="●","〇","×")</f>
        <v>×</v>
      </c>
      <c r="H196" t="str">
        <f>IF(問題!K63="●","〇","×")</f>
        <v>×</v>
      </c>
      <c r="I196" t="str">
        <f>IF(問題!M63="●","〇","×")</f>
        <v>〇</v>
      </c>
      <c r="J196" t="str">
        <f>IF(問題!O63="●","〇","×")</f>
        <v>〇</v>
      </c>
    </row>
    <row r="197" spans="1:10">
      <c r="A197" t="str">
        <f>問題!A64</f>
        <v>08セキュリティ</v>
      </c>
      <c r="B197" t="str">
        <f>問題!B64</f>
        <v>シーン2</v>
      </c>
      <c r="C197">
        <f>問題!C64</f>
        <v>5</v>
      </c>
      <c r="D197" t="str">
        <f>問題!D64</f>
        <v>個別</v>
      </c>
      <c r="E197" t="str">
        <f>問題!E64</f>
        <v>個別</v>
      </c>
      <c r="F197" t="str">
        <f>IF(問題!G64="●","〇","×")</f>
        <v>×</v>
      </c>
      <c r="G197" t="str">
        <f>IF(問題!I64="●","〇","×")</f>
        <v>×</v>
      </c>
      <c r="H197" t="str">
        <f>IF(問題!K64="●","〇","×")</f>
        <v>×</v>
      </c>
      <c r="I197" t="str">
        <f>IF(問題!M64="●","〇","×")</f>
        <v>×</v>
      </c>
      <c r="J197" t="str">
        <f>IF(問題!O64="●","〇","×")</f>
        <v>〇</v>
      </c>
    </row>
    <row r="198" spans="1:10">
      <c r="A198" t="str">
        <f>問題!A65</f>
        <v>08セキュリティ</v>
      </c>
      <c r="B198" t="str">
        <f>問題!B65</f>
        <v>シーン2</v>
      </c>
      <c r="C198">
        <f>問題!C65</f>
        <v>6</v>
      </c>
      <c r="D198" t="str">
        <f>問題!D65</f>
        <v>個別</v>
      </c>
      <c r="E198" t="str">
        <f>問題!E65</f>
        <v>個別</v>
      </c>
      <c r="F198" t="str">
        <f>IF(問題!G65="●","〇","×")</f>
        <v>×</v>
      </c>
      <c r="G198" t="str">
        <f>IF(問題!I65="●","〇","×")</f>
        <v>〇</v>
      </c>
      <c r="H198" t="str">
        <f>IF(問題!K65="●","〇","×")</f>
        <v>×</v>
      </c>
      <c r="I198" t="str">
        <f>IF(問題!M65="●","〇","×")</f>
        <v>〇</v>
      </c>
      <c r="J198" t="str">
        <f>IF(問題!O65="●","〇","×")</f>
        <v>〇</v>
      </c>
    </row>
    <row r="199" spans="1:10">
      <c r="A199" t="str">
        <f>問題!A66</f>
        <v>08セキュリティ</v>
      </c>
      <c r="B199" t="str">
        <f>問題!B66</f>
        <v>シーン2</v>
      </c>
      <c r="C199">
        <f>問題!C66</f>
        <v>7</v>
      </c>
      <c r="D199" t="str">
        <f>問題!D66</f>
        <v>共通11</v>
      </c>
      <c r="E199" t="str">
        <f>問題!E66</f>
        <v>共通</v>
      </c>
      <c r="F199" t="str">
        <f>IF(問題!G66="●","〇","×")</f>
        <v>〇</v>
      </c>
      <c r="G199" t="str">
        <f>IF(問題!I66="●","〇","×")</f>
        <v>×</v>
      </c>
      <c r="H199" t="str">
        <f>IF(問題!K66="●","〇","×")</f>
        <v>×</v>
      </c>
      <c r="I199" t="str">
        <f>IF(問題!M66="●","〇","×")</f>
        <v>×</v>
      </c>
      <c r="J199" t="str">
        <f>IF(問題!O66="●","〇","×")</f>
        <v>×</v>
      </c>
    </row>
    <row r="200" spans="1:10">
      <c r="A200" t="str">
        <f>問題!A130</f>
        <v>08セキュリティ</v>
      </c>
      <c r="B200" t="str">
        <f>問題!B130</f>
        <v>シーン3</v>
      </c>
      <c r="C200">
        <f>問題!C130</f>
        <v>1</v>
      </c>
      <c r="D200" t="str">
        <f>問題!D130</f>
        <v>共通12</v>
      </c>
      <c r="E200" t="str">
        <f>問題!E130</f>
        <v>共通</v>
      </c>
      <c r="F200" t="str">
        <f>IF(問題!G130="●","〇","×")</f>
        <v>〇</v>
      </c>
      <c r="G200" t="str">
        <f>IF(問題!I130="●","〇","×")</f>
        <v>×</v>
      </c>
      <c r="H200" t="str">
        <f>IF(問題!K130="●","〇","×")</f>
        <v>×</v>
      </c>
      <c r="I200" t="str">
        <f>IF(問題!M130="●","〇","×")</f>
        <v>×</v>
      </c>
      <c r="J200" t="str">
        <f>IF(問題!O130="●","〇","×")</f>
        <v>〇</v>
      </c>
    </row>
    <row r="201" spans="1:10">
      <c r="A201" t="str">
        <f>問題!A131</f>
        <v>08セキュリティ</v>
      </c>
      <c r="B201" t="str">
        <f>問題!B131</f>
        <v>シーン3</v>
      </c>
      <c r="C201">
        <f>問題!C131</f>
        <v>2</v>
      </c>
      <c r="D201" t="str">
        <f>問題!D131</f>
        <v>共通13</v>
      </c>
      <c r="E201" t="str">
        <f>問題!E131</f>
        <v>共通</v>
      </c>
      <c r="F201" t="str">
        <f>IF(問題!G131="●","〇","×")</f>
        <v>〇</v>
      </c>
      <c r="G201" t="str">
        <f>IF(問題!I131="●","〇","×")</f>
        <v>〇</v>
      </c>
      <c r="H201" t="str">
        <f>IF(問題!K131="●","〇","×")</f>
        <v>×</v>
      </c>
      <c r="I201" t="str">
        <f>IF(問題!M131="●","〇","×")</f>
        <v>×</v>
      </c>
      <c r="J201" t="str">
        <f>IF(問題!O131="●","〇","×")</f>
        <v>〇</v>
      </c>
    </row>
    <row r="202" spans="1:10">
      <c r="A202" t="str">
        <f>問題!A132</f>
        <v>08セキュリティ</v>
      </c>
      <c r="B202" t="str">
        <f>問題!B132</f>
        <v>シーン3</v>
      </c>
      <c r="C202">
        <f>問題!C132</f>
        <v>3</v>
      </c>
      <c r="D202" t="str">
        <f>問題!D132</f>
        <v>個別</v>
      </c>
      <c r="E202" t="str">
        <f>問題!E132</f>
        <v>個別</v>
      </c>
      <c r="F202" t="str">
        <f>IF(問題!G132="●","〇","×")</f>
        <v>×</v>
      </c>
      <c r="G202" t="str">
        <f>IF(問題!I132="●","〇","×")</f>
        <v>×</v>
      </c>
      <c r="H202" t="str">
        <f>IF(問題!K132="●","〇","×")</f>
        <v>〇</v>
      </c>
      <c r="I202" t="str">
        <f>IF(問題!M132="●","〇","×")</f>
        <v>×</v>
      </c>
      <c r="J202" t="str">
        <f>IF(問題!O132="●","〇","×")</f>
        <v>〇</v>
      </c>
    </row>
    <row r="203" spans="1:10">
      <c r="A203" t="str">
        <f>問題!A133</f>
        <v>08セキュリティ</v>
      </c>
      <c r="B203" t="str">
        <f>問題!B133</f>
        <v>シーン3</v>
      </c>
      <c r="C203">
        <f>問題!C133</f>
        <v>4</v>
      </c>
      <c r="D203" t="str">
        <f>問題!D133</f>
        <v>個別</v>
      </c>
      <c r="E203" t="str">
        <f>問題!E133</f>
        <v>個別</v>
      </c>
      <c r="F203" t="str">
        <f>IF(問題!G133="●","〇","×")</f>
        <v>×</v>
      </c>
      <c r="G203" t="str">
        <f>IF(問題!I133="●","〇","×")</f>
        <v>×</v>
      </c>
      <c r="H203" t="str">
        <f>IF(問題!K133="●","〇","×")</f>
        <v>〇</v>
      </c>
      <c r="I203" t="str">
        <f>IF(問題!M133="●","〇","×")</f>
        <v>×</v>
      </c>
      <c r="J203" t="str">
        <f>IF(問題!O133="●","〇","×")</f>
        <v>〇</v>
      </c>
    </row>
    <row r="204" spans="1:10">
      <c r="A204" t="str">
        <f>問題!A134</f>
        <v>08セキュリティ</v>
      </c>
      <c r="B204" t="str">
        <f>問題!B134</f>
        <v>シーン3</v>
      </c>
      <c r="C204">
        <f>問題!C134</f>
        <v>5</v>
      </c>
      <c r="D204" t="str">
        <f>問題!D134</f>
        <v>個別</v>
      </c>
      <c r="E204" t="str">
        <f>問題!E134</f>
        <v>個別</v>
      </c>
      <c r="F204" t="str">
        <f>IF(問題!G134="●","〇","×")</f>
        <v>×</v>
      </c>
      <c r="G204" t="str">
        <f>IF(問題!I134="●","〇","×")</f>
        <v>×</v>
      </c>
      <c r="H204" t="str">
        <f>IF(問題!K134="●","〇","×")</f>
        <v>×</v>
      </c>
      <c r="I204" t="str">
        <f>IF(問題!M134="●","〇","×")</f>
        <v>×</v>
      </c>
      <c r="J204" t="str">
        <f>IF(問題!O134="●","〇","×")</f>
        <v>〇</v>
      </c>
    </row>
    <row r="205" spans="1:10">
      <c r="A205" t="str">
        <f>問題!A135</f>
        <v>08セキュリティ</v>
      </c>
      <c r="B205" t="str">
        <f>問題!B135</f>
        <v>シーン3</v>
      </c>
      <c r="C205">
        <f>問題!C135</f>
        <v>6</v>
      </c>
      <c r="D205" t="str">
        <f>問題!D135</f>
        <v>個別</v>
      </c>
      <c r="E205" t="str">
        <f>問題!E135</f>
        <v>個別</v>
      </c>
      <c r="F205" t="str">
        <f>IF(問題!G135="●","〇","×")</f>
        <v>×</v>
      </c>
      <c r="G205" t="str">
        <f>IF(問題!I135="●","〇","×")</f>
        <v>×</v>
      </c>
      <c r="H205" t="str">
        <f>IF(問題!K135="●","〇","×")</f>
        <v>×</v>
      </c>
      <c r="I205" t="str">
        <f>IF(問題!M135="●","〇","×")</f>
        <v>〇</v>
      </c>
      <c r="J205" t="str">
        <f>IF(問題!O135="●","〇","×")</f>
        <v>〇</v>
      </c>
    </row>
    <row r="206" spans="1:10">
      <c r="A206" t="str">
        <f>問題!A136</f>
        <v>08セキュリティ</v>
      </c>
      <c r="B206" t="str">
        <f>問題!B136</f>
        <v>シーン3</v>
      </c>
      <c r="C206">
        <f>問題!C136</f>
        <v>7</v>
      </c>
      <c r="D206" t="str">
        <f>問題!D136</f>
        <v>共通14</v>
      </c>
      <c r="E206" t="str">
        <f>問題!E136</f>
        <v>共通</v>
      </c>
      <c r="F206" t="str">
        <f>IF(問題!G136="●","〇","×")</f>
        <v>×</v>
      </c>
      <c r="G206" t="str">
        <f>IF(問題!I136="●","〇","×")</f>
        <v>×</v>
      </c>
      <c r="H206" t="str">
        <f>IF(問題!K136="●","〇","×")</f>
        <v>〇</v>
      </c>
      <c r="I206" t="str">
        <f>IF(問題!M136="●","〇","×")</f>
        <v>〇</v>
      </c>
      <c r="J206" t="str">
        <f>IF(問題!O136="●","〇","×")</f>
        <v>〇</v>
      </c>
    </row>
    <row r="207" spans="1:10">
      <c r="A207" s="63" t="s">
        <v>357</v>
      </c>
      <c r="B207" s="63"/>
      <c r="C207" s="63"/>
      <c r="D207" s="63"/>
      <c r="E207" s="63" t="s">
        <v>367</v>
      </c>
      <c r="F207" s="63">
        <f>COUNTIF(F185:F206,"〇")</f>
        <v>5</v>
      </c>
      <c r="G207" s="63">
        <f>COUNTIF(G185:G206,"〇")</f>
        <v>10</v>
      </c>
      <c r="H207" s="63">
        <f>COUNTIF(H185:H206,"〇")</f>
        <v>6</v>
      </c>
      <c r="I207" s="63">
        <f>COUNTIF(I185:I206,"〇")</f>
        <v>8</v>
      </c>
      <c r="J207" s="63">
        <f>COUNTIF(J185:J206,"〇")</f>
        <v>16</v>
      </c>
    </row>
    <row r="209" spans="1:10" ht="19.899999999999999">
      <c r="A209" s="68" t="s">
        <v>375</v>
      </c>
      <c r="B209" s="68"/>
      <c r="C209" s="68"/>
      <c r="D209" s="68"/>
      <c r="E209" s="68"/>
      <c r="F209" s="68"/>
      <c r="G209" s="68"/>
      <c r="H209" s="68"/>
      <c r="I209" s="68"/>
      <c r="J209" s="68"/>
    </row>
    <row r="210" spans="1:10">
      <c r="A210" s="62" t="s">
        <v>358</v>
      </c>
      <c r="B210" s="62" t="s">
        <v>331</v>
      </c>
      <c r="C210" s="62" t="s">
        <v>360</v>
      </c>
      <c r="D210" s="62" t="s">
        <v>361</v>
      </c>
      <c r="E210" s="62" t="s">
        <v>362</v>
      </c>
      <c r="F210" s="62" t="s">
        <v>333</v>
      </c>
      <c r="G210" s="62" t="s">
        <v>363</v>
      </c>
      <c r="H210" s="62" t="s">
        <v>364</v>
      </c>
      <c r="I210" s="62" t="s">
        <v>365</v>
      </c>
      <c r="J210" s="62" t="s">
        <v>366</v>
      </c>
    </row>
    <row r="211" spans="1:10">
      <c r="A211" t="str">
        <f>問題!A3</f>
        <v>00全班共通</v>
      </c>
      <c r="B211" t="str">
        <f>問題!B3</f>
        <v>シーン1</v>
      </c>
      <c r="C211">
        <f>問題!C3</f>
        <v>1</v>
      </c>
      <c r="D211" t="str">
        <f>問題!D3</f>
        <v>共通01</v>
      </c>
      <c r="E211" t="str">
        <f>問題!E3</f>
        <v>共通</v>
      </c>
      <c r="F211" t="str">
        <f>IF(問題!G3="●","〇","×")</f>
        <v>×</v>
      </c>
      <c r="G211" t="str">
        <f>IF(問題!I3="●","〇","×")</f>
        <v>〇</v>
      </c>
      <c r="H211" t="str">
        <f>IF(問題!K3="●","〇","×")</f>
        <v>×</v>
      </c>
      <c r="I211" t="str">
        <f>IF(問題!M3="●","〇","×")</f>
        <v>〇</v>
      </c>
      <c r="J211" t="str">
        <f>IF(問題!O3="●","〇","×")</f>
        <v>〇</v>
      </c>
    </row>
    <row r="212" spans="1:10">
      <c r="A212" t="str">
        <f>問題!A4</f>
        <v>00全班共通</v>
      </c>
      <c r="B212" t="str">
        <f>問題!B4</f>
        <v>シーン1</v>
      </c>
      <c r="C212">
        <f>問題!C4</f>
        <v>2</v>
      </c>
      <c r="D212" t="str">
        <f>問題!D4</f>
        <v>共通02</v>
      </c>
      <c r="E212" t="str">
        <f>問題!E4</f>
        <v>共通</v>
      </c>
      <c r="F212" t="str">
        <f>IF(問題!G4="●","〇","×")</f>
        <v>×</v>
      </c>
      <c r="G212" t="str">
        <f>IF(問題!I4="●","〇","×")</f>
        <v>〇</v>
      </c>
      <c r="H212" t="str">
        <f>IF(問題!K4="●","〇","×")</f>
        <v>×</v>
      </c>
      <c r="I212" t="str">
        <f>IF(問題!M4="●","〇","×")</f>
        <v>×</v>
      </c>
      <c r="J212" t="str">
        <f>IF(問題!O4="●","〇","×")</f>
        <v>×</v>
      </c>
    </row>
    <row r="213" spans="1:10">
      <c r="A213" t="str">
        <f>問題!A5</f>
        <v>00全班共通</v>
      </c>
      <c r="B213" t="str">
        <f>問題!B5</f>
        <v>シーン1</v>
      </c>
      <c r="C213">
        <f>問題!C5</f>
        <v>3</v>
      </c>
      <c r="D213" t="str">
        <f>問題!D5</f>
        <v>共通03</v>
      </c>
      <c r="E213" t="str">
        <f>問題!E5</f>
        <v>共通</v>
      </c>
      <c r="F213" t="str">
        <f>IF(問題!G5="●","〇","×")</f>
        <v>×</v>
      </c>
      <c r="G213" t="str">
        <f>IF(問題!I5="●","〇","×")</f>
        <v>×</v>
      </c>
      <c r="H213" t="str">
        <f>IF(問題!K5="●","〇","×")</f>
        <v>〇</v>
      </c>
      <c r="I213" t="str">
        <f>IF(問題!M5="●","〇","×")</f>
        <v>×</v>
      </c>
      <c r="J213" t="str">
        <f>IF(問題!O5="●","〇","×")</f>
        <v>×</v>
      </c>
    </row>
    <row r="214" spans="1:10">
      <c r="A214" t="str">
        <f>問題!A6</f>
        <v>00全班共通</v>
      </c>
      <c r="B214" t="str">
        <f>問題!B6</f>
        <v>シーン1</v>
      </c>
      <c r="C214">
        <f>問題!C6</f>
        <v>4</v>
      </c>
      <c r="D214" t="str">
        <f>問題!D6</f>
        <v>共通04</v>
      </c>
      <c r="E214" t="str">
        <f>問題!E6</f>
        <v>共通</v>
      </c>
      <c r="F214" t="str">
        <f>IF(問題!G6="●","〇","×")</f>
        <v>×</v>
      </c>
      <c r="G214" t="str">
        <f>IF(問題!I6="●","〇","×")</f>
        <v>〇</v>
      </c>
      <c r="H214" t="str">
        <f>IF(問題!K6="●","〇","×")</f>
        <v>×</v>
      </c>
      <c r="I214" t="str">
        <f>IF(問題!M6="●","〇","×")</f>
        <v>×</v>
      </c>
      <c r="J214" t="str">
        <f>IF(問題!O6="●","〇","×")</f>
        <v>〇</v>
      </c>
    </row>
    <row r="215" spans="1:10">
      <c r="A215" t="str">
        <f>問題!A7</f>
        <v>00全班共通</v>
      </c>
      <c r="B215" t="str">
        <f>問題!B7</f>
        <v>シーン1</v>
      </c>
      <c r="C215">
        <f>問題!C7</f>
        <v>5</v>
      </c>
      <c r="D215" t="str">
        <f>問題!D7</f>
        <v>共通05</v>
      </c>
      <c r="E215" t="str">
        <f>問題!E7</f>
        <v>共通</v>
      </c>
      <c r="F215" t="str">
        <f>IF(問題!G7="●","〇","×")</f>
        <v>×</v>
      </c>
      <c r="G215" t="str">
        <f>IF(問題!I7="●","〇","×")</f>
        <v>×</v>
      </c>
      <c r="H215" t="str">
        <f>IF(問題!K7="●","〇","×")</f>
        <v>×</v>
      </c>
      <c r="I215" t="str">
        <f>IF(問題!M7="●","〇","×")</f>
        <v>〇</v>
      </c>
      <c r="J215" t="str">
        <f>IF(問題!O7="●","〇","×")</f>
        <v>〇</v>
      </c>
    </row>
    <row r="216" spans="1:10">
      <c r="A216" t="str">
        <f>問題!A8</f>
        <v>00全班共通</v>
      </c>
      <c r="B216" t="str">
        <f>問題!B8</f>
        <v>シーン1</v>
      </c>
      <c r="C216">
        <f>問題!C8</f>
        <v>6</v>
      </c>
      <c r="D216" t="str">
        <f>問題!D8</f>
        <v>共通06</v>
      </c>
      <c r="E216" t="str">
        <f>問題!E8</f>
        <v>共通</v>
      </c>
      <c r="F216" t="str">
        <f>IF(問題!G8="●","〇","×")</f>
        <v>×</v>
      </c>
      <c r="G216" t="str">
        <f>IF(問題!I8="●","〇","×")</f>
        <v>〇</v>
      </c>
      <c r="H216" t="str">
        <f>IF(問題!K8="●","〇","×")</f>
        <v>〇</v>
      </c>
      <c r="I216" t="str">
        <f>IF(問題!M8="●","〇","×")</f>
        <v>〇</v>
      </c>
      <c r="J216" t="str">
        <f>IF(問題!O8="●","〇","×")</f>
        <v>×</v>
      </c>
    </row>
    <row r="217" spans="1:10">
      <c r="A217" t="str">
        <f>問題!A9</f>
        <v>00全班共通</v>
      </c>
      <c r="B217" t="str">
        <f>問題!B9</f>
        <v>シーン1</v>
      </c>
      <c r="C217">
        <f>問題!C9</f>
        <v>7</v>
      </c>
      <c r="D217" t="str">
        <f>問題!D9</f>
        <v>共通07</v>
      </c>
      <c r="E217" t="str">
        <f>問題!E9</f>
        <v>共通</v>
      </c>
      <c r="F217" t="str">
        <f>IF(問題!G9="●","〇","×")</f>
        <v>×</v>
      </c>
      <c r="G217" t="str">
        <f>IF(問題!I9="●","〇","×")</f>
        <v>〇</v>
      </c>
      <c r="H217" t="str">
        <f>IF(問題!K9="●","〇","×")</f>
        <v>×</v>
      </c>
      <c r="I217" t="str">
        <f>IF(問題!M9="●","〇","×")</f>
        <v>×</v>
      </c>
      <c r="J217" t="str">
        <f>IF(問題!O9="●","〇","×")</f>
        <v>〇</v>
      </c>
    </row>
    <row r="218" spans="1:10">
      <c r="A218" t="str">
        <f>問題!A10</f>
        <v>00全班共通</v>
      </c>
      <c r="B218" t="str">
        <f>問題!B10</f>
        <v>シーン1</v>
      </c>
      <c r="C218">
        <f>問題!C10</f>
        <v>8</v>
      </c>
      <c r="D218" t="str">
        <f>問題!D10</f>
        <v>共通08</v>
      </c>
      <c r="E218" t="str">
        <f>問題!E10</f>
        <v>共通</v>
      </c>
      <c r="F218" t="str">
        <f>IF(問題!G10="●","〇","×")</f>
        <v>×</v>
      </c>
      <c r="G218" t="str">
        <f>IF(問題!I10="●","〇","×")</f>
        <v>〇</v>
      </c>
      <c r="H218" t="str">
        <f>IF(問題!K10="●","〇","×")</f>
        <v>〇</v>
      </c>
      <c r="I218" t="str">
        <f>IF(問題!M10="●","〇","×")</f>
        <v>〇</v>
      </c>
      <c r="J218" t="str">
        <f>IF(問題!O10="●","〇","×")</f>
        <v>×</v>
      </c>
    </row>
    <row r="219" spans="1:10">
      <c r="A219" t="str">
        <f>問題!A67</f>
        <v>09社内システム</v>
      </c>
      <c r="B219" t="str">
        <f>問題!B67</f>
        <v>シーン2</v>
      </c>
      <c r="C219">
        <f>問題!C67</f>
        <v>1</v>
      </c>
      <c r="D219" t="str">
        <f>問題!D67</f>
        <v>共通09</v>
      </c>
      <c r="E219" t="str">
        <f>問題!E67</f>
        <v>共通</v>
      </c>
      <c r="F219" t="str">
        <f>IF(問題!G67="●","〇","×")</f>
        <v>〇</v>
      </c>
      <c r="G219" t="str">
        <f>IF(問題!I67="●","〇","×")</f>
        <v>〇</v>
      </c>
      <c r="H219" t="str">
        <f>IF(問題!K67="●","〇","×")</f>
        <v>×</v>
      </c>
      <c r="I219" t="str">
        <f>IF(問題!M67="●","〇","×")</f>
        <v>×</v>
      </c>
      <c r="J219" t="str">
        <f>IF(問題!O67="●","〇","×")</f>
        <v>×</v>
      </c>
    </row>
    <row r="220" spans="1:10">
      <c r="A220" t="str">
        <f>問題!A68</f>
        <v>09社内システム</v>
      </c>
      <c r="B220" t="str">
        <f>問題!B68</f>
        <v>シーン2</v>
      </c>
      <c r="C220">
        <f>問題!C68</f>
        <v>2</v>
      </c>
      <c r="D220" t="str">
        <f>問題!D68</f>
        <v>共通10</v>
      </c>
      <c r="E220" t="str">
        <f>問題!E68</f>
        <v>共通</v>
      </c>
      <c r="F220" t="str">
        <f>IF(問題!G68="●","〇","×")</f>
        <v>〇</v>
      </c>
      <c r="G220" t="str">
        <f>IF(問題!I68="●","〇","×")</f>
        <v>×</v>
      </c>
      <c r="H220" t="str">
        <f>IF(問題!K68="●","〇","×")</f>
        <v>×</v>
      </c>
      <c r="I220" t="str">
        <f>IF(問題!M68="●","〇","×")</f>
        <v>×</v>
      </c>
      <c r="J220" t="str">
        <f>IF(問題!O68="●","〇","×")</f>
        <v>〇</v>
      </c>
    </row>
    <row r="221" spans="1:10">
      <c r="A221" t="str">
        <f>問題!A69</f>
        <v>09社内システム</v>
      </c>
      <c r="B221" t="str">
        <f>問題!B69</f>
        <v>シーン2</v>
      </c>
      <c r="C221">
        <f>問題!C69</f>
        <v>3</v>
      </c>
      <c r="D221" t="str">
        <f>問題!D69</f>
        <v>個別</v>
      </c>
      <c r="E221" t="str">
        <f>問題!E69</f>
        <v>個別</v>
      </c>
      <c r="F221" t="str">
        <f>IF(問題!G69="●","〇","×")</f>
        <v>×</v>
      </c>
      <c r="G221" t="str">
        <f>IF(問題!I69="●","〇","×")</f>
        <v>〇</v>
      </c>
      <c r="H221" t="str">
        <f>IF(問題!K69="●","〇","×")</f>
        <v>〇</v>
      </c>
      <c r="I221" t="str">
        <f>IF(問題!M69="●","〇","×")</f>
        <v>×</v>
      </c>
      <c r="J221" t="str">
        <f>IF(問題!O69="●","〇","×")</f>
        <v>×</v>
      </c>
    </row>
    <row r="222" spans="1:10">
      <c r="A222" t="str">
        <f>問題!A70</f>
        <v>09社内システム</v>
      </c>
      <c r="B222" t="str">
        <f>問題!B70</f>
        <v>シーン2</v>
      </c>
      <c r="C222">
        <f>問題!C70</f>
        <v>4</v>
      </c>
      <c r="D222" t="str">
        <f>問題!D70</f>
        <v>個別</v>
      </c>
      <c r="E222" t="str">
        <f>問題!E70</f>
        <v>個別</v>
      </c>
      <c r="F222" t="str">
        <f>IF(問題!G70="●","〇","×")</f>
        <v>×</v>
      </c>
      <c r="G222" t="str">
        <f>IF(問題!I70="●","〇","×")</f>
        <v>〇</v>
      </c>
      <c r="H222" t="str">
        <f>IF(問題!K70="●","〇","×")</f>
        <v>×</v>
      </c>
      <c r="I222" t="str">
        <f>IF(問題!M70="●","〇","×")</f>
        <v>×</v>
      </c>
      <c r="J222" t="str">
        <f>IF(問題!O70="●","〇","×")</f>
        <v>〇</v>
      </c>
    </row>
    <row r="223" spans="1:10">
      <c r="A223" t="str">
        <f>問題!A71</f>
        <v>09社内システム</v>
      </c>
      <c r="B223" t="str">
        <f>問題!B71</f>
        <v>シーン2</v>
      </c>
      <c r="C223">
        <f>問題!C71</f>
        <v>5</v>
      </c>
      <c r="D223" t="str">
        <f>問題!D71</f>
        <v>個別</v>
      </c>
      <c r="E223" t="str">
        <f>問題!E71</f>
        <v>個別</v>
      </c>
      <c r="F223" t="str">
        <f>IF(問題!G71="●","〇","×")</f>
        <v>×</v>
      </c>
      <c r="G223" t="str">
        <f>IF(問題!I71="●","〇","×")</f>
        <v>〇</v>
      </c>
      <c r="H223" t="str">
        <f>IF(問題!K71="●","〇","×")</f>
        <v>×</v>
      </c>
      <c r="I223" t="str">
        <f>IF(問題!M71="●","〇","×")</f>
        <v>×</v>
      </c>
      <c r="J223" t="str">
        <f>IF(問題!O71="●","〇","×")</f>
        <v>〇</v>
      </c>
    </row>
    <row r="224" spans="1:10">
      <c r="A224" t="str">
        <f>問題!A72</f>
        <v>09社内システム</v>
      </c>
      <c r="B224" t="str">
        <f>問題!B72</f>
        <v>シーン2</v>
      </c>
      <c r="C224">
        <f>問題!C72</f>
        <v>6</v>
      </c>
      <c r="D224" t="str">
        <f>問題!D72</f>
        <v>個別</v>
      </c>
      <c r="E224" t="str">
        <f>問題!E72</f>
        <v>個別</v>
      </c>
      <c r="F224" t="str">
        <f>IF(問題!G72="●","〇","×")</f>
        <v>×</v>
      </c>
      <c r="G224" t="str">
        <f>IF(問題!I72="●","〇","×")</f>
        <v>×</v>
      </c>
      <c r="H224" t="str">
        <f>IF(問題!K72="●","〇","×")</f>
        <v>×</v>
      </c>
      <c r="I224" t="str">
        <f>IF(問題!M72="●","〇","×")</f>
        <v>×</v>
      </c>
      <c r="J224" t="str">
        <f>IF(問題!O72="●","〇","×")</f>
        <v>〇</v>
      </c>
    </row>
    <row r="225" spans="1:10">
      <c r="A225" t="str">
        <f>問題!A73</f>
        <v>09社内システム</v>
      </c>
      <c r="B225" t="str">
        <f>問題!B73</f>
        <v>シーン2</v>
      </c>
      <c r="C225">
        <f>問題!C73</f>
        <v>7</v>
      </c>
      <c r="D225" t="str">
        <f>問題!D73</f>
        <v>共通11</v>
      </c>
      <c r="E225" t="str">
        <f>問題!E73</f>
        <v>共通</v>
      </c>
      <c r="F225" t="str">
        <f>IF(問題!G73="●","〇","×")</f>
        <v>〇</v>
      </c>
      <c r="G225" t="str">
        <f>IF(問題!I73="●","〇","×")</f>
        <v>×</v>
      </c>
      <c r="H225" t="str">
        <f>IF(問題!K73="●","〇","×")</f>
        <v>×</v>
      </c>
      <c r="I225" t="str">
        <f>IF(問題!M73="●","〇","×")</f>
        <v>×</v>
      </c>
      <c r="J225" t="str">
        <f>IF(問題!O73="●","〇","×")</f>
        <v>×</v>
      </c>
    </row>
    <row r="226" spans="1:10">
      <c r="A226" t="str">
        <f>問題!A137</f>
        <v>09社内システム</v>
      </c>
      <c r="B226" t="str">
        <f>問題!B137</f>
        <v>シーン3</v>
      </c>
      <c r="C226">
        <f>問題!C137</f>
        <v>1</v>
      </c>
      <c r="D226" t="str">
        <f>問題!D137</f>
        <v>共通12</v>
      </c>
      <c r="E226" t="str">
        <f>問題!E137</f>
        <v>共通</v>
      </c>
      <c r="F226" t="str">
        <f>IF(問題!G137="●","〇","×")</f>
        <v>〇</v>
      </c>
      <c r="G226" t="str">
        <f>IF(問題!I137="●","〇","×")</f>
        <v>×</v>
      </c>
      <c r="H226" t="str">
        <f>IF(問題!K137="●","〇","×")</f>
        <v>×</v>
      </c>
      <c r="I226" t="str">
        <f>IF(問題!M137="●","〇","×")</f>
        <v>×</v>
      </c>
      <c r="J226" t="str">
        <f>IF(問題!O137="●","〇","×")</f>
        <v>〇</v>
      </c>
    </row>
    <row r="227" spans="1:10">
      <c r="A227" t="str">
        <f>問題!A138</f>
        <v>09社内システム</v>
      </c>
      <c r="B227" t="str">
        <f>問題!B138</f>
        <v>シーン3</v>
      </c>
      <c r="C227">
        <f>問題!C138</f>
        <v>2</v>
      </c>
      <c r="D227" t="str">
        <f>問題!D138</f>
        <v>共通13</v>
      </c>
      <c r="E227" t="str">
        <f>問題!E138</f>
        <v>共通</v>
      </c>
      <c r="F227" t="str">
        <f>IF(問題!G138="●","〇","×")</f>
        <v>〇</v>
      </c>
      <c r="G227" t="str">
        <f>IF(問題!I138="●","〇","×")</f>
        <v>〇</v>
      </c>
      <c r="H227" t="str">
        <f>IF(問題!K138="●","〇","×")</f>
        <v>×</v>
      </c>
      <c r="I227" t="str">
        <f>IF(問題!M138="●","〇","×")</f>
        <v>×</v>
      </c>
      <c r="J227" t="str">
        <f>IF(問題!O138="●","〇","×")</f>
        <v>〇</v>
      </c>
    </row>
    <row r="228" spans="1:10">
      <c r="A228" t="str">
        <f>問題!A139</f>
        <v>09社内システム</v>
      </c>
      <c r="B228" t="str">
        <f>問題!B139</f>
        <v>シーン3</v>
      </c>
      <c r="C228">
        <f>問題!C139</f>
        <v>3</v>
      </c>
      <c r="D228" t="str">
        <f>問題!D139</f>
        <v>個別</v>
      </c>
      <c r="E228" t="str">
        <f>問題!E139</f>
        <v>個別</v>
      </c>
      <c r="F228" t="str">
        <f>IF(問題!G139="●","〇","×")</f>
        <v>×</v>
      </c>
      <c r="G228" t="str">
        <f>IF(問題!I139="●","〇","×")</f>
        <v>〇</v>
      </c>
      <c r="H228" t="str">
        <f>IF(問題!K139="●","〇","×")</f>
        <v>×</v>
      </c>
      <c r="I228" t="str">
        <f>IF(問題!M139="●","〇","×")</f>
        <v>×</v>
      </c>
      <c r="J228" t="str">
        <f>IF(問題!O139="●","〇","×")</f>
        <v>×</v>
      </c>
    </row>
    <row r="229" spans="1:10">
      <c r="A229" t="str">
        <f>問題!A140</f>
        <v>09社内システム</v>
      </c>
      <c r="B229" t="str">
        <f>問題!B140</f>
        <v>シーン3</v>
      </c>
      <c r="C229">
        <f>問題!C140</f>
        <v>4</v>
      </c>
      <c r="D229" t="str">
        <f>問題!D140</f>
        <v>個別</v>
      </c>
      <c r="E229" t="str">
        <f>問題!E140</f>
        <v>個別</v>
      </c>
      <c r="F229" t="str">
        <f>IF(問題!G140="●","〇","×")</f>
        <v>×</v>
      </c>
      <c r="G229" t="str">
        <f>IF(問題!I140="●","〇","×")</f>
        <v>×</v>
      </c>
      <c r="H229" t="str">
        <f>IF(問題!K140="●","〇","×")</f>
        <v>×</v>
      </c>
      <c r="I229" t="str">
        <f>IF(問題!M140="●","〇","×")</f>
        <v>×</v>
      </c>
      <c r="J229" t="str">
        <f>IF(問題!O140="●","〇","×")</f>
        <v>〇</v>
      </c>
    </row>
    <row r="230" spans="1:10">
      <c r="A230" t="str">
        <f>問題!A141</f>
        <v>09社内システム</v>
      </c>
      <c r="B230" t="str">
        <f>問題!B141</f>
        <v>シーン3</v>
      </c>
      <c r="C230">
        <f>問題!C141</f>
        <v>5</v>
      </c>
      <c r="D230" t="str">
        <f>問題!D141</f>
        <v>個別</v>
      </c>
      <c r="E230" t="str">
        <f>問題!E141</f>
        <v>個別</v>
      </c>
      <c r="F230" t="str">
        <f>IF(問題!G141="●","〇","×")</f>
        <v>×</v>
      </c>
      <c r="G230" t="str">
        <f>IF(問題!I141="●","〇","×")</f>
        <v>〇</v>
      </c>
      <c r="H230" t="str">
        <f>IF(問題!K141="●","〇","×")</f>
        <v>×</v>
      </c>
      <c r="I230" t="str">
        <f>IF(問題!M141="●","〇","×")</f>
        <v>×</v>
      </c>
      <c r="J230" t="str">
        <f>IF(問題!O141="●","〇","×")</f>
        <v>×</v>
      </c>
    </row>
    <row r="231" spans="1:10">
      <c r="A231" t="str">
        <f>問題!A142</f>
        <v>09社内システム</v>
      </c>
      <c r="B231" t="str">
        <f>問題!B142</f>
        <v>シーン3</v>
      </c>
      <c r="C231">
        <f>問題!C142</f>
        <v>6</v>
      </c>
      <c r="D231" t="str">
        <f>問題!D142</f>
        <v>個別</v>
      </c>
      <c r="E231" t="str">
        <f>問題!E142</f>
        <v>個別</v>
      </c>
      <c r="F231" t="str">
        <f>IF(問題!G142="●","〇","×")</f>
        <v>×</v>
      </c>
      <c r="G231" t="str">
        <f>IF(問題!I142="●","〇","×")</f>
        <v>×</v>
      </c>
      <c r="H231" t="str">
        <f>IF(問題!K142="●","〇","×")</f>
        <v>×</v>
      </c>
      <c r="I231" t="str">
        <f>IF(問題!M142="●","〇","×")</f>
        <v>×</v>
      </c>
      <c r="J231" t="str">
        <f>IF(問題!O142="●","〇","×")</f>
        <v>〇</v>
      </c>
    </row>
    <row r="232" spans="1:10">
      <c r="A232" t="str">
        <f>問題!A143</f>
        <v>09社内システム</v>
      </c>
      <c r="B232" t="str">
        <f>問題!B143</f>
        <v>シーン3</v>
      </c>
      <c r="C232">
        <f>問題!C143</f>
        <v>7</v>
      </c>
      <c r="D232" t="str">
        <f>問題!D143</f>
        <v>共通14</v>
      </c>
      <c r="E232" t="str">
        <f>問題!E143</f>
        <v>共通</v>
      </c>
      <c r="F232" t="str">
        <f>IF(問題!G143="●","〇","×")</f>
        <v>×</v>
      </c>
      <c r="G232" t="str">
        <f>IF(問題!I143="●","〇","×")</f>
        <v>×</v>
      </c>
      <c r="H232" t="str">
        <f>IF(問題!K143="●","〇","×")</f>
        <v>〇</v>
      </c>
      <c r="I232" t="str">
        <f>IF(問題!M143="●","〇","×")</f>
        <v>〇</v>
      </c>
      <c r="J232" t="str">
        <f>IF(問題!O143="●","〇","×")</f>
        <v>〇</v>
      </c>
    </row>
    <row r="233" spans="1:10">
      <c r="A233" s="63" t="s">
        <v>357</v>
      </c>
      <c r="B233" s="63"/>
      <c r="C233" s="63"/>
      <c r="D233" s="63"/>
      <c r="E233" s="63" t="s">
        <v>367</v>
      </c>
      <c r="F233" s="63">
        <f>COUNTIF(F211:F232,"〇")</f>
        <v>5</v>
      </c>
      <c r="G233" s="63">
        <f>COUNTIF(G211:G232,"〇")</f>
        <v>13</v>
      </c>
      <c r="H233" s="63">
        <f>COUNTIF(H211:H232,"〇")</f>
        <v>5</v>
      </c>
      <c r="I233" s="63">
        <f>COUNTIF(I211:I232,"〇")</f>
        <v>5</v>
      </c>
      <c r="J233" s="63">
        <f>COUNTIF(J211:J232,"〇")</f>
        <v>13</v>
      </c>
    </row>
    <row r="235" spans="1:10" ht="19.899999999999999">
      <c r="A235" s="68" t="s">
        <v>376</v>
      </c>
      <c r="B235" s="68"/>
      <c r="C235" s="68"/>
      <c r="D235" s="68"/>
      <c r="E235" s="68"/>
      <c r="F235" s="68"/>
      <c r="G235" s="68"/>
      <c r="H235" s="68"/>
      <c r="I235" s="68"/>
      <c r="J235" s="68"/>
    </row>
    <row r="236" spans="1:10">
      <c r="A236" s="62" t="s">
        <v>358</v>
      </c>
      <c r="B236" s="62" t="s">
        <v>331</v>
      </c>
      <c r="C236" s="62" t="s">
        <v>360</v>
      </c>
      <c r="D236" s="62" t="s">
        <v>361</v>
      </c>
      <c r="E236" s="62" t="s">
        <v>362</v>
      </c>
      <c r="F236" s="62" t="s">
        <v>333</v>
      </c>
      <c r="G236" s="62" t="s">
        <v>363</v>
      </c>
      <c r="H236" s="62" t="s">
        <v>364</v>
      </c>
      <c r="I236" s="62" t="s">
        <v>365</v>
      </c>
      <c r="J236" s="62" t="s">
        <v>366</v>
      </c>
    </row>
    <row r="237" spans="1:10">
      <c r="A237" t="str">
        <f>問題!A3</f>
        <v>00全班共通</v>
      </c>
      <c r="B237" t="str">
        <f>問題!B3</f>
        <v>シーン1</v>
      </c>
      <c r="C237">
        <f>問題!C3</f>
        <v>1</v>
      </c>
      <c r="D237" t="str">
        <f>問題!D3</f>
        <v>共通01</v>
      </c>
      <c r="E237" t="str">
        <f>問題!E3</f>
        <v>共通</v>
      </c>
      <c r="F237" t="str">
        <f>IF(問題!G3="●","〇","×")</f>
        <v>×</v>
      </c>
      <c r="G237" t="str">
        <f>IF(問題!I3="●","〇","×")</f>
        <v>〇</v>
      </c>
      <c r="H237" t="str">
        <f>IF(問題!K3="●","〇","×")</f>
        <v>×</v>
      </c>
      <c r="I237" t="str">
        <f>IF(問題!M3="●","〇","×")</f>
        <v>〇</v>
      </c>
      <c r="J237" t="str">
        <f>IF(問題!O3="●","〇","×")</f>
        <v>〇</v>
      </c>
    </row>
    <row r="238" spans="1:10">
      <c r="A238" t="str">
        <f>問題!A4</f>
        <v>00全班共通</v>
      </c>
      <c r="B238" t="str">
        <f>問題!B4</f>
        <v>シーン1</v>
      </c>
      <c r="C238">
        <f>問題!C4</f>
        <v>2</v>
      </c>
      <c r="D238" t="str">
        <f>問題!D4</f>
        <v>共通02</v>
      </c>
      <c r="E238" t="str">
        <f>問題!E4</f>
        <v>共通</v>
      </c>
      <c r="F238" t="str">
        <f>IF(問題!G4="●","〇","×")</f>
        <v>×</v>
      </c>
      <c r="G238" t="str">
        <f>IF(問題!I4="●","〇","×")</f>
        <v>〇</v>
      </c>
      <c r="H238" t="str">
        <f>IF(問題!K4="●","〇","×")</f>
        <v>×</v>
      </c>
      <c r="I238" t="str">
        <f>IF(問題!M4="●","〇","×")</f>
        <v>×</v>
      </c>
      <c r="J238" t="str">
        <f>IF(問題!O4="●","〇","×")</f>
        <v>×</v>
      </c>
    </row>
    <row r="239" spans="1:10">
      <c r="A239" t="str">
        <f>問題!A5</f>
        <v>00全班共通</v>
      </c>
      <c r="B239" t="str">
        <f>問題!B5</f>
        <v>シーン1</v>
      </c>
      <c r="C239">
        <f>問題!C5</f>
        <v>3</v>
      </c>
      <c r="D239" t="str">
        <f>問題!D5</f>
        <v>共通03</v>
      </c>
      <c r="E239" t="str">
        <f>問題!E5</f>
        <v>共通</v>
      </c>
      <c r="F239" t="str">
        <f>IF(問題!G5="●","〇","×")</f>
        <v>×</v>
      </c>
      <c r="G239" t="str">
        <f>IF(問題!I5="●","〇","×")</f>
        <v>×</v>
      </c>
      <c r="H239" t="str">
        <f>IF(問題!K5="●","〇","×")</f>
        <v>〇</v>
      </c>
      <c r="I239" t="str">
        <f>IF(問題!M5="●","〇","×")</f>
        <v>×</v>
      </c>
      <c r="J239" t="str">
        <f>IF(問題!O5="●","〇","×")</f>
        <v>×</v>
      </c>
    </row>
    <row r="240" spans="1:10">
      <c r="A240" t="str">
        <f>問題!A6</f>
        <v>00全班共通</v>
      </c>
      <c r="B240" t="str">
        <f>問題!B6</f>
        <v>シーン1</v>
      </c>
      <c r="C240">
        <f>問題!C6</f>
        <v>4</v>
      </c>
      <c r="D240" t="str">
        <f>問題!D6</f>
        <v>共通04</v>
      </c>
      <c r="E240" t="str">
        <f>問題!E6</f>
        <v>共通</v>
      </c>
      <c r="F240" t="str">
        <f>IF(問題!G6="●","〇","×")</f>
        <v>×</v>
      </c>
      <c r="G240" t="str">
        <f>IF(問題!I6="●","〇","×")</f>
        <v>〇</v>
      </c>
      <c r="H240" t="str">
        <f>IF(問題!K6="●","〇","×")</f>
        <v>×</v>
      </c>
      <c r="I240" t="str">
        <f>IF(問題!M6="●","〇","×")</f>
        <v>×</v>
      </c>
      <c r="J240" t="str">
        <f>IF(問題!O6="●","〇","×")</f>
        <v>〇</v>
      </c>
    </row>
    <row r="241" spans="1:10">
      <c r="A241" t="str">
        <f>問題!A7</f>
        <v>00全班共通</v>
      </c>
      <c r="B241" t="str">
        <f>問題!B7</f>
        <v>シーン1</v>
      </c>
      <c r="C241">
        <f>問題!C7</f>
        <v>5</v>
      </c>
      <c r="D241" t="str">
        <f>問題!D7</f>
        <v>共通05</v>
      </c>
      <c r="E241" t="str">
        <f>問題!E7</f>
        <v>共通</v>
      </c>
      <c r="F241" t="str">
        <f>IF(問題!G7="●","〇","×")</f>
        <v>×</v>
      </c>
      <c r="G241" t="str">
        <f>IF(問題!I7="●","〇","×")</f>
        <v>×</v>
      </c>
      <c r="H241" t="str">
        <f>IF(問題!K7="●","〇","×")</f>
        <v>×</v>
      </c>
      <c r="I241" t="str">
        <f>IF(問題!M7="●","〇","×")</f>
        <v>〇</v>
      </c>
      <c r="J241" t="str">
        <f>IF(問題!O7="●","〇","×")</f>
        <v>〇</v>
      </c>
    </row>
    <row r="242" spans="1:10">
      <c r="A242" t="str">
        <f>問題!A8</f>
        <v>00全班共通</v>
      </c>
      <c r="B242" t="str">
        <f>問題!B8</f>
        <v>シーン1</v>
      </c>
      <c r="C242">
        <f>問題!C8</f>
        <v>6</v>
      </c>
      <c r="D242" t="str">
        <f>問題!D8</f>
        <v>共通06</v>
      </c>
      <c r="E242" t="str">
        <f>問題!E8</f>
        <v>共通</v>
      </c>
      <c r="F242" t="str">
        <f>IF(問題!G8="●","〇","×")</f>
        <v>×</v>
      </c>
      <c r="G242" t="str">
        <f>IF(問題!I8="●","〇","×")</f>
        <v>〇</v>
      </c>
      <c r="H242" t="str">
        <f>IF(問題!K8="●","〇","×")</f>
        <v>〇</v>
      </c>
      <c r="I242" t="str">
        <f>IF(問題!M8="●","〇","×")</f>
        <v>〇</v>
      </c>
      <c r="J242" t="str">
        <f>IF(問題!O8="●","〇","×")</f>
        <v>×</v>
      </c>
    </row>
    <row r="243" spans="1:10">
      <c r="A243" t="str">
        <f>問題!A9</f>
        <v>00全班共通</v>
      </c>
      <c r="B243" t="str">
        <f>問題!B9</f>
        <v>シーン1</v>
      </c>
      <c r="C243">
        <f>問題!C9</f>
        <v>7</v>
      </c>
      <c r="D243" t="str">
        <f>問題!D9</f>
        <v>共通07</v>
      </c>
      <c r="E243" t="str">
        <f>問題!E9</f>
        <v>共通</v>
      </c>
      <c r="F243" t="str">
        <f>IF(問題!G9="●","〇","×")</f>
        <v>×</v>
      </c>
      <c r="G243" t="str">
        <f>IF(問題!I9="●","〇","×")</f>
        <v>〇</v>
      </c>
      <c r="H243" t="str">
        <f>IF(問題!K9="●","〇","×")</f>
        <v>×</v>
      </c>
      <c r="I243" t="str">
        <f>IF(問題!M9="●","〇","×")</f>
        <v>×</v>
      </c>
      <c r="J243" t="str">
        <f>IF(問題!O9="●","〇","×")</f>
        <v>〇</v>
      </c>
    </row>
    <row r="244" spans="1:10">
      <c r="A244" t="str">
        <f>問題!A10</f>
        <v>00全班共通</v>
      </c>
      <c r="B244" t="str">
        <f>問題!B10</f>
        <v>シーン1</v>
      </c>
      <c r="C244">
        <f>問題!C10</f>
        <v>8</v>
      </c>
      <c r="D244" t="str">
        <f>問題!D10</f>
        <v>共通08</v>
      </c>
      <c r="E244" t="str">
        <f>問題!E10</f>
        <v>共通</v>
      </c>
      <c r="F244" t="str">
        <f>IF(問題!G10="●","〇","×")</f>
        <v>×</v>
      </c>
      <c r="G244" t="str">
        <f>IF(問題!I10="●","〇","×")</f>
        <v>〇</v>
      </c>
      <c r="H244" t="str">
        <f>IF(問題!K10="●","〇","×")</f>
        <v>〇</v>
      </c>
      <c r="I244" t="str">
        <f>IF(問題!M10="●","〇","×")</f>
        <v>〇</v>
      </c>
      <c r="J244" t="str">
        <f>IF(問題!O10="●","〇","×")</f>
        <v>×</v>
      </c>
    </row>
    <row r="245" spans="1:10">
      <c r="A245" t="str">
        <f>問題!A74</f>
        <v>10情報統括</v>
      </c>
      <c r="B245" t="str">
        <f>問題!B74</f>
        <v>シーン2</v>
      </c>
      <c r="C245">
        <f>問題!C74</f>
        <v>1</v>
      </c>
      <c r="D245" t="str">
        <f>問題!D74</f>
        <v>共通09</v>
      </c>
      <c r="E245" t="str">
        <f>問題!E74</f>
        <v>共通</v>
      </c>
      <c r="F245" t="str">
        <f>IF(問題!G74="●","〇","×")</f>
        <v>〇</v>
      </c>
      <c r="G245" t="str">
        <f>IF(問題!I74="●","〇","×")</f>
        <v>〇</v>
      </c>
      <c r="H245" t="str">
        <f>IF(問題!K74="●","〇","×")</f>
        <v>×</v>
      </c>
      <c r="I245" t="str">
        <f>IF(問題!M74="●","〇","×")</f>
        <v>×</v>
      </c>
      <c r="J245" t="str">
        <f>IF(問題!O74="●","〇","×")</f>
        <v>×</v>
      </c>
    </row>
    <row r="246" spans="1:10">
      <c r="A246" t="str">
        <f>問題!A75</f>
        <v>10情報統括</v>
      </c>
      <c r="B246" t="str">
        <f>問題!B75</f>
        <v>シーン2</v>
      </c>
      <c r="C246">
        <f>問題!C75</f>
        <v>2</v>
      </c>
      <c r="D246" t="str">
        <f>問題!D75</f>
        <v>共通10</v>
      </c>
      <c r="E246" t="str">
        <f>問題!E75</f>
        <v>共通</v>
      </c>
      <c r="F246" t="str">
        <f>IF(問題!G75="●","〇","×")</f>
        <v>〇</v>
      </c>
      <c r="G246" t="str">
        <f>IF(問題!I75="●","〇","×")</f>
        <v>×</v>
      </c>
      <c r="H246" t="str">
        <f>IF(問題!K75="●","〇","×")</f>
        <v>×</v>
      </c>
      <c r="I246" t="str">
        <f>IF(問題!M75="●","〇","×")</f>
        <v>×</v>
      </c>
      <c r="J246" t="str">
        <f>IF(問題!O75="●","〇","×")</f>
        <v>〇</v>
      </c>
    </row>
    <row r="247" spans="1:10">
      <c r="A247" t="str">
        <f>問題!A76</f>
        <v>10情報統括</v>
      </c>
      <c r="B247" t="str">
        <f>問題!B76</f>
        <v>シーン2</v>
      </c>
      <c r="C247">
        <f>問題!C76</f>
        <v>3</v>
      </c>
      <c r="D247" t="str">
        <f>問題!D76</f>
        <v>個別</v>
      </c>
      <c r="E247" t="str">
        <f>問題!E76</f>
        <v>個別</v>
      </c>
      <c r="F247" t="str">
        <f>IF(問題!G76="●","〇","×")</f>
        <v>〇</v>
      </c>
      <c r="G247" t="str">
        <f>IF(問題!I76="●","〇","×")</f>
        <v>〇</v>
      </c>
      <c r="H247" t="str">
        <f>IF(問題!K76="●","〇","×")</f>
        <v>×</v>
      </c>
      <c r="I247" t="str">
        <f>IF(問題!M76="●","〇","×")</f>
        <v>×</v>
      </c>
      <c r="J247" t="str">
        <f>IF(問題!O76="●","〇","×")</f>
        <v>×</v>
      </c>
    </row>
    <row r="248" spans="1:10">
      <c r="A248" t="str">
        <f>問題!A77</f>
        <v>10情報統括</v>
      </c>
      <c r="B248" t="str">
        <f>問題!B77</f>
        <v>シーン2</v>
      </c>
      <c r="C248">
        <f>問題!C77</f>
        <v>4</v>
      </c>
      <c r="D248" t="str">
        <f>問題!D77</f>
        <v>個別</v>
      </c>
      <c r="E248" t="str">
        <f>問題!E77</f>
        <v>個別</v>
      </c>
      <c r="F248" t="str">
        <f>IF(問題!G77="●","〇","×")</f>
        <v>×</v>
      </c>
      <c r="G248" t="str">
        <f>IF(問題!I77="●","〇","×")</f>
        <v>×</v>
      </c>
      <c r="H248" t="str">
        <f>IF(問題!K77="●","〇","×")</f>
        <v>×</v>
      </c>
      <c r="I248" t="str">
        <f>IF(問題!M77="●","〇","×")</f>
        <v>〇</v>
      </c>
      <c r="J248" t="str">
        <f>IF(問題!O77="●","〇","×")</f>
        <v>〇</v>
      </c>
    </row>
    <row r="249" spans="1:10">
      <c r="A249" t="str">
        <f>問題!A78</f>
        <v>10情報統括</v>
      </c>
      <c r="B249" t="str">
        <f>問題!B78</f>
        <v>シーン2</v>
      </c>
      <c r="C249">
        <f>問題!C78</f>
        <v>5</v>
      </c>
      <c r="D249" t="str">
        <f>問題!D78</f>
        <v>個別</v>
      </c>
      <c r="E249" t="str">
        <f>問題!E78</f>
        <v>個別</v>
      </c>
      <c r="F249" t="str">
        <f>IF(問題!G78="●","〇","×")</f>
        <v>×</v>
      </c>
      <c r="G249" t="str">
        <f>IF(問題!I78="●","〇","×")</f>
        <v>×</v>
      </c>
      <c r="H249" t="str">
        <f>IF(問題!K78="●","〇","×")</f>
        <v>×</v>
      </c>
      <c r="I249" t="str">
        <f>IF(問題!M78="●","〇","×")</f>
        <v>〇</v>
      </c>
      <c r="J249" t="str">
        <f>IF(問題!O78="●","〇","×")</f>
        <v>〇</v>
      </c>
    </row>
    <row r="250" spans="1:10">
      <c r="A250" t="str">
        <f>問題!A79</f>
        <v>10情報統括</v>
      </c>
      <c r="B250" t="str">
        <f>問題!B79</f>
        <v>シーン2</v>
      </c>
      <c r="C250">
        <f>問題!C79</f>
        <v>6</v>
      </c>
      <c r="D250" t="str">
        <f>問題!D79</f>
        <v>個別</v>
      </c>
      <c r="E250" t="str">
        <f>問題!E79</f>
        <v>個別</v>
      </c>
      <c r="F250" t="str">
        <f>IF(問題!G79="●","〇","×")</f>
        <v>〇</v>
      </c>
      <c r="G250" t="str">
        <f>IF(問題!I79="●","〇","×")</f>
        <v>×</v>
      </c>
      <c r="H250" t="str">
        <f>IF(問題!K79="●","〇","×")</f>
        <v>〇</v>
      </c>
      <c r="I250" t="str">
        <f>IF(問題!M79="●","〇","×")</f>
        <v>×</v>
      </c>
      <c r="J250" t="str">
        <f>IF(問題!O79="●","〇","×")</f>
        <v>×</v>
      </c>
    </row>
    <row r="251" spans="1:10">
      <c r="A251" t="str">
        <f>問題!A80</f>
        <v>10情報統括</v>
      </c>
      <c r="B251" t="str">
        <f>問題!B80</f>
        <v>シーン2</v>
      </c>
      <c r="C251">
        <f>問題!C80</f>
        <v>7</v>
      </c>
      <c r="D251" t="str">
        <f>問題!D80</f>
        <v>共通11</v>
      </c>
      <c r="E251" t="str">
        <f>問題!E80</f>
        <v>共通</v>
      </c>
      <c r="F251" t="str">
        <f>IF(問題!G80="●","〇","×")</f>
        <v>〇</v>
      </c>
      <c r="G251" t="str">
        <f>IF(問題!I80="●","〇","×")</f>
        <v>×</v>
      </c>
      <c r="H251" t="str">
        <f>IF(問題!K80="●","〇","×")</f>
        <v>×</v>
      </c>
      <c r="I251" t="str">
        <f>IF(問題!M80="●","〇","×")</f>
        <v>×</v>
      </c>
      <c r="J251" t="str">
        <f>IF(問題!O80="●","〇","×")</f>
        <v>×</v>
      </c>
    </row>
    <row r="252" spans="1:10">
      <c r="A252" t="str">
        <f>問題!A144</f>
        <v>10情報統括</v>
      </c>
      <c r="B252" t="str">
        <f>問題!B144</f>
        <v>シーン3</v>
      </c>
      <c r="C252">
        <f>問題!C144</f>
        <v>1</v>
      </c>
      <c r="D252" t="str">
        <f>問題!D144</f>
        <v>共通12</v>
      </c>
      <c r="E252" t="str">
        <f>問題!E144</f>
        <v>共通</v>
      </c>
      <c r="F252" t="str">
        <f>IF(問題!G144="●","〇","×")</f>
        <v>〇</v>
      </c>
      <c r="G252" t="str">
        <f>IF(問題!I144="●","〇","×")</f>
        <v>×</v>
      </c>
      <c r="H252" t="str">
        <f>IF(問題!K144="●","〇","×")</f>
        <v>×</v>
      </c>
      <c r="I252" t="str">
        <f>IF(問題!M144="●","〇","×")</f>
        <v>×</v>
      </c>
      <c r="J252" t="str">
        <f>IF(問題!O144="●","〇","×")</f>
        <v>〇</v>
      </c>
    </row>
    <row r="253" spans="1:10">
      <c r="A253" t="str">
        <f>問題!A145</f>
        <v>10情報統括</v>
      </c>
      <c r="B253" t="str">
        <f>問題!B145</f>
        <v>シーン3</v>
      </c>
      <c r="C253">
        <f>問題!C145</f>
        <v>2</v>
      </c>
      <c r="D253" t="str">
        <f>問題!D145</f>
        <v>個別</v>
      </c>
      <c r="E253" t="str">
        <f>問題!E145</f>
        <v>個別</v>
      </c>
      <c r="F253" t="str">
        <f>IF(問題!G145="●","〇","×")</f>
        <v>〇</v>
      </c>
      <c r="G253" t="str">
        <f>IF(問題!I145="●","〇","×")</f>
        <v>〇</v>
      </c>
      <c r="H253" t="str">
        <f>IF(問題!K145="●","〇","×")</f>
        <v>×</v>
      </c>
      <c r="I253" t="str">
        <f>IF(問題!M145="●","〇","×")</f>
        <v>×</v>
      </c>
      <c r="J253" t="str">
        <f>IF(問題!O145="●","〇","×")</f>
        <v>〇</v>
      </c>
    </row>
    <row r="254" spans="1:10">
      <c r="A254" t="str">
        <f>問題!A146</f>
        <v>10情報統括</v>
      </c>
      <c r="B254" t="str">
        <f>問題!B146</f>
        <v>シーン3</v>
      </c>
      <c r="C254">
        <f>問題!C146</f>
        <v>3</v>
      </c>
      <c r="D254" t="str">
        <f>問題!D146</f>
        <v>共通13</v>
      </c>
      <c r="E254" t="str">
        <f>問題!E146</f>
        <v>共通</v>
      </c>
      <c r="F254" t="str">
        <f>IF(問題!G146="●","〇","×")</f>
        <v>〇</v>
      </c>
      <c r="G254" t="str">
        <f>IF(問題!I146="●","〇","×")</f>
        <v>〇</v>
      </c>
      <c r="H254" t="str">
        <f>IF(問題!K146="●","〇","×")</f>
        <v>×</v>
      </c>
      <c r="I254" t="str">
        <f>IF(問題!M146="●","〇","×")</f>
        <v>×</v>
      </c>
      <c r="J254" t="str">
        <f>IF(問題!O146="●","〇","×")</f>
        <v>〇</v>
      </c>
    </row>
    <row r="255" spans="1:10">
      <c r="A255" t="str">
        <f>問題!A147</f>
        <v>10情報統括</v>
      </c>
      <c r="B255" t="str">
        <f>問題!B147</f>
        <v>シーン3</v>
      </c>
      <c r="C255">
        <f>問題!C147</f>
        <v>4</v>
      </c>
      <c r="D255" t="str">
        <f>問題!D147</f>
        <v>個別</v>
      </c>
      <c r="E255" t="str">
        <f>問題!E147</f>
        <v>個別</v>
      </c>
      <c r="F255" t="str">
        <f>IF(問題!G147="●","〇","×")</f>
        <v>〇</v>
      </c>
      <c r="G255" t="str">
        <f>IF(問題!I147="●","〇","×")</f>
        <v>〇</v>
      </c>
      <c r="H255" t="str">
        <f>IF(問題!K147="●","〇","×")</f>
        <v>×</v>
      </c>
      <c r="I255" t="str">
        <f>IF(問題!M147="●","〇","×")</f>
        <v>〇</v>
      </c>
      <c r="J255" t="str">
        <f>IF(問題!O147="●","〇","×")</f>
        <v>〇</v>
      </c>
    </row>
    <row r="256" spans="1:10">
      <c r="A256" t="str">
        <f>問題!A148</f>
        <v>10情報統括</v>
      </c>
      <c r="B256" t="str">
        <f>問題!B148</f>
        <v>シーン3</v>
      </c>
      <c r="C256">
        <f>問題!C148</f>
        <v>5</v>
      </c>
      <c r="D256" t="str">
        <f>問題!D148</f>
        <v>個別</v>
      </c>
      <c r="E256" t="str">
        <f>問題!E148</f>
        <v>個別</v>
      </c>
      <c r="F256" t="str">
        <f>IF(問題!G148="●","〇","×")</f>
        <v>〇</v>
      </c>
      <c r="G256" t="str">
        <f>IF(問題!I148="●","〇","×")</f>
        <v>×</v>
      </c>
      <c r="H256" t="str">
        <f>IF(問題!K148="●","〇","×")</f>
        <v>〇</v>
      </c>
      <c r="I256" t="str">
        <f>IF(問題!M148="●","〇","×")</f>
        <v>×</v>
      </c>
      <c r="J256" t="str">
        <f>IF(問題!O148="●","〇","×")</f>
        <v>〇</v>
      </c>
    </row>
    <row r="257" spans="1:10">
      <c r="A257" t="str">
        <f>問題!A149</f>
        <v>10情報統括</v>
      </c>
      <c r="B257" t="str">
        <f>問題!B149</f>
        <v>シーン3</v>
      </c>
      <c r="C257">
        <f>問題!C149</f>
        <v>6</v>
      </c>
      <c r="D257" t="str">
        <f>問題!D149</f>
        <v>個別</v>
      </c>
      <c r="E257" t="str">
        <f>問題!E149</f>
        <v>個別</v>
      </c>
      <c r="F257" t="str">
        <f>IF(問題!G149="●","〇","×")</f>
        <v>〇</v>
      </c>
      <c r="G257" t="str">
        <f>IF(問題!I149="●","〇","×")</f>
        <v>〇</v>
      </c>
      <c r="H257" t="str">
        <f>IF(問題!K149="●","〇","×")</f>
        <v>×</v>
      </c>
      <c r="I257" t="str">
        <f>IF(問題!M149="●","〇","×")</f>
        <v>〇</v>
      </c>
      <c r="J257" t="str">
        <f>IF(問題!O149="●","〇","×")</f>
        <v>×</v>
      </c>
    </row>
    <row r="258" spans="1:10">
      <c r="A258" t="str">
        <f>問題!A150</f>
        <v>10情報統括</v>
      </c>
      <c r="B258" t="str">
        <f>問題!B150</f>
        <v>シーン3</v>
      </c>
      <c r="C258">
        <f>問題!C150</f>
        <v>7</v>
      </c>
      <c r="D258" t="str">
        <f>問題!D150</f>
        <v>共通14</v>
      </c>
      <c r="E258" t="str">
        <f>問題!E150</f>
        <v>共通</v>
      </c>
      <c r="F258" t="str">
        <f>IF(問題!G150="●","〇","×")</f>
        <v>×</v>
      </c>
      <c r="G258" t="str">
        <f>IF(問題!I150="●","〇","×")</f>
        <v>×</v>
      </c>
      <c r="H258" t="str">
        <f>IF(問題!K150="●","〇","×")</f>
        <v>〇</v>
      </c>
      <c r="I258" t="str">
        <f>IF(問題!M150="●","〇","×")</f>
        <v>〇</v>
      </c>
      <c r="J258" t="str">
        <f>IF(問題!O150="●","〇","×")</f>
        <v>〇</v>
      </c>
    </row>
    <row r="259" spans="1:10">
      <c r="A259" s="63" t="s">
        <v>357</v>
      </c>
      <c r="B259" s="63"/>
      <c r="C259" s="63"/>
      <c r="D259" s="63"/>
      <c r="E259" s="63" t="s">
        <v>367</v>
      </c>
      <c r="F259" s="63">
        <f>COUNTIF(F237:F258,"〇")</f>
        <v>11</v>
      </c>
      <c r="G259" s="63">
        <f>COUNTIF(G237:G258,"〇")</f>
        <v>12</v>
      </c>
      <c r="H259" s="63">
        <f>COUNTIF(H237:H258,"〇")</f>
        <v>6</v>
      </c>
      <c r="I259" s="63">
        <f>COUNTIF(I237:I258,"〇")</f>
        <v>9</v>
      </c>
      <c r="J259" s="63">
        <f>COUNTIF(J237:J258,"〇")</f>
        <v>13</v>
      </c>
    </row>
  </sheetData>
  <mergeCells count="10">
    <mergeCell ref="A157:J157"/>
    <mergeCell ref="A183:J183"/>
    <mergeCell ref="A209:J209"/>
    <mergeCell ref="A235:J235"/>
    <mergeCell ref="A1:J1"/>
    <mergeCell ref="A27:J27"/>
    <mergeCell ref="A53:J53"/>
    <mergeCell ref="A79:J79"/>
    <mergeCell ref="A105:J105"/>
    <mergeCell ref="A131:J131"/>
  </mergeCells>
  <phoneticPr fontId="1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62d10be-2fcd-4442-af8a-94a42580c3b0" xsi:nil="true"/>
    <lcf76f155ced4ddcb4097134ff3c332f xmlns="4305324a-7ffb-4362-90e7-517d8da790f7">
      <Terms xmlns="http://schemas.microsoft.com/office/infopath/2007/PartnerControls"/>
    </lcf76f155ced4ddcb4097134ff3c332f>
    <ArchiverLinkFileType xmlns="4305324a-7ffb-4362-90e7-517d8da790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B1B54CA2A46B242A2B0FD9B790ABCBA" ma:contentTypeVersion="14" ma:contentTypeDescription="新しいドキュメントを作成します。" ma:contentTypeScope="" ma:versionID="9e31b18fa00edcfe91e163effc57e9da">
  <xsd:schema xmlns:xsd="http://www.w3.org/2001/XMLSchema" xmlns:xs="http://www.w3.org/2001/XMLSchema" xmlns:p="http://schemas.microsoft.com/office/2006/metadata/properties" xmlns:ns2="4305324a-7ffb-4362-90e7-517d8da790f7" xmlns:ns3="a62d10be-2fcd-4442-af8a-94a42580c3b0" targetNamespace="http://schemas.microsoft.com/office/2006/metadata/properties" ma:root="true" ma:fieldsID="ad449fdc0dd25f7784aa66a3ecd17102" ns2:_="" ns3:_="">
    <xsd:import namespace="4305324a-7ffb-4362-90e7-517d8da790f7"/>
    <xsd:import namespace="a62d10be-2fcd-4442-af8a-94a42580c3b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05324a-7ffb-4362-90e7-517d8da790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40495dbf-c790-4553-8539-553daef3872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ArchiverLinkFileType" ma:index="21"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2d10be-2fcd-4442-af8a-94a42580c3b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5ad9d25-5110-4a5d-8ed2-5a88e08c1a0f}" ma:internalName="TaxCatchAll" ma:showField="CatchAllData" ma:web="a62d10be-2fcd-4442-af8a-94a42580c3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E4772E-1B70-4337-8FE6-49FEE0B6A43E}">
  <ds:schemaRefs>
    <ds:schemaRef ds:uri="http://schemas.microsoft.com/sharepoint/v3/contenttype/forms"/>
  </ds:schemaRefs>
</ds:datastoreItem>
</file>

<file path=customXml/itemProps2.xml><?xml version="1.0" encoding="utf-8"?>
<ds:datastoreItem xmlns:ds="http://schemas.openxmlformats.org/officeDocument/2006/customXml" ds:itemID="{C4786B45-7AE7-41CB-8185-52B8DBC8AAF4}">
  <ds:schemaRefs>
    <ds:schemaRef ds:uri="http://schemas.microsoft.com/office/2006/metadata/properties"/>
    <ds:schemaRef ds:uri="http://schemas.microsoft.com/office/infopath/2007/PartnerControls"/>
    <ds:schemaRef ds:uri="a62d10be-2fcd-4442-af8a-94a42580c3b0"/>
    <ds:schemaRef ds:uri="4305324a-7ffb-4362-90e7-517d8da790f7"/>
  </ds:schemaRefs>
</ds:datastoreItem>
</file>

<file path=customXml/itemProps3.xml><?xml version="1.0" encoding="utf-8"?>
<ds:datastoreItem xmlns:ds="http://schemas.openxmlformats.org/officeDocument/2006/customXml" ds:itemID="{9D83A276-332C-4B58-8883-F86AB47187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05324a-7ffb-4362-90e7-517d8da790f7"/>
    <ds:schemaRef ds:uri="a62d10be-2fcd-4442-af8a-94a42580c3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f683064-e914-40cc-b246-2b5927a3a354}" enabled="1" method="Privileged" siteId="{a629ef32-67ba-47a6-8eb3-ec43935644f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問題</vt:lpstr>
      <vt:lpstr>コンピテンシー</vt:lpstr>
      <vt:lpstr>班別コンピテンシー</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Toshihiro Kobayashi（小林利博）</dc:creator>
  <cp:keywords/>
  <dc:description/>
  <cp:lastModifiedBy>Eddie S</cp:lastModifiedBy>
  <cp:revision/>
  <dcterms:created xsi:type="dcterms:W3CDTF">2024-03-25T00:26:11Z</dcterms:created>
  <dcterms:modified xsi:type="dcterms:W3CDTF">2026-05-15T04:27:13Z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683064-e914-40cc-b246-2b5927a3a354_Enabled">
    <vt:lpwstr>true</vt:lpwstr>
  </property>
  <property fmtid="{D5CDD505-2E9C-101B-9397-08002B2CF9AE}" pid="3" name="MSIP_Label_ef683064-e914-40cc-b246-2b5927a3a354_SetDate">
    <vt:lpwstr>2024-03-25T00:30:01Z</vt:lpwstr>
  </property>
  <property fmtid="{D5CDD505-2E9C-101B-9397-08002B2CF9AE}" pid="4" name="MSIP_Label_ef683064-e914-40cc-b246-2b5927a3a354_Method">
    <vt:lpwstr>Privileged</vt:lpwstr>
  </property>
  <property fmtid="{D5CDD505-2E9C-101B-9397-08002B2CF9AE}" pid="5" name="MSIP_Label_ef683064-e914-40cc-b246-2b5927a3a354_Name">
    <vt:lpwstr>ef683064-e914-40cc-b246-2b5927a3a354</vt:lpwstr>
  </property>
  <property fmtid="{D5CDD505-2E9C-101B-9397-08002B2CF9AE}" pid="6" name="MSIP_Label_ef683064-e914-40cc-b246-2b5927a3a354_SiteId">
    <vt:lpwstr>a629ef32-67ba-47a6-8eb3-ec43935644fc</vt:lpwstr>
  </property>
  <property fmtid="{D5CDD505-2E9C-101B-9397-08002B2CF9AE}" pid="7" name="MSIP_Label_ef683064-e914-40cc-b246-2b5927a3a354_ActionId">
    <vt:lpwstr>6cb664f0-8030-4746-970b-0849e7470087</vt:lpwstr>
  </property>
  <property fmtid="{D5CDD505-2E9C-101B-9397-08002B2CF9AE}" pid="8" name="MSIP_Label_ef683064-e914-40cc-b246-2b5927a3a354_ContentBits">
    <vt:lpwstr>0</vt:lpwstr>
  </property>
  <property fmtid="{D5CDD505-2E9C-101B-9397-08002B2CF9AE}" pid="9" name="ContentTypeId">
    <vt:lpwstr>0x010100BB1B54CA2A46B242A2B0FD9B790ABCBA</vt:lpwstr>
  </property>
  <property fmtid="{D5CDD505-2E9C-101B-9397-08002B2CF9AE}" pid="10" name="MediaServiceImageTags">
    <vt:lpwstr/>
  </property>
</Properties>
</file>